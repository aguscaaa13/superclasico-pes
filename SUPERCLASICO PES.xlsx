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HISTÓRICOS" sheetId="1" r:id="rId5"/>
    <sheet state="visible" name="TEMPORADA 1" sheetId="2" r:id="rId6"/>
    <sheet state="visible" name="TEMPORADA 2" sheetId="3" r:id="rId7"/>
  </sheets>
  <definedNames/>
  <calcPr/>
</workbook>
</file>

<file path=xl/sharedStrings.xml><?xml version="1.0" encoding="utf-8"?>
<sst xmlns="http://schemas.openxmlformats.org/spreadsheetml/2006/main" count="632" uniqueCount="103">
  <si>
    <t>MÁXIMOS GOLEADORES HISTÓRICOS</t>
  </si>
  <si>
    <t xml:space="preserve">Jugador </t>
  </si>
  <si>
    <t>Cant. goles</t>
  </si>
  <si>
    <t>Equipo</t>
  </si>
  <si>
    <t>Triunfos</t>
  </si>
  <si>
    <t>Total partidos</t>
  </si>
  <si>
    <t>Derrotas</t>
  </si>
  <si>
    <t>Empates</t>
  </si>
  <si>
    <t>Series empate</t>
  </si>
  <si>
    <t>Historial</t>
  </si>
  <si>
    <t>MAYOR VICTORIA</t>
  </si>
  <si>
    <t>TOTAL GOLES</t>
  </si>
  <si>
    <t>SERIES GANADAS</t>
  </si>
  <si>
    <t>A FAVOR DE:</t>
  </si>
  <si>
    <t>GANADORES BALON DE ORO TODAS LAS TEMPORADAS</t>
  </si>
  <si>
    <r>
      <rPr>
        <rFont val="Arial"/>
        <color theme="1"/>
      </rPr>
      <t xml:space="preserve">1ra temporada: </t>
    </r>
    <r>
      <rPr>
        <rFont val="Arial"/>
        <b/>
        <color theme="1"/>
      </rPr>
      <t>KAI HAVERTZ (SOLDADO DE COUDET)</t>
    </r>
  </si>
  <si>
    <t>2da temporada: ?</t>
  </si>
  <si>
    <t>Peruzzi</t>
  </si>
  <si>
    <t xml:space="preserve"> (VDG)</t>
  </si>
  <si>
    <t>Puyol</t>
  </si>
  <si>
    <t>(SDC)</t>
  </si>
  <si>
    <t>Van Dijk</t>
  </si>
  <si>
    <t>Vermaelen</t>
  </si>
  <si>
    <t>Mancini</t>
  </si>
  <si>
    <t>Beckenbauer</t>
  </si>
  <si>
    <t>Saliba</t>
  </si>
  <si>
    <t>Bastoni</t>
  </si>
  <si>
    <t>Huijsen</t>
  </si>
  <si>
    <t>Kounde</t>
  </si>
  <si>
    <t>Matty Cash</t>
  </si>
  <si>
    <t>Silvestre</t>
  </si>
  <si>
    <t>Grimaldo</t>
  </si>
  <si>
    <t>Gvardiol</t>
  </si>
  <si>
    <t>Rijkaard</t>
  </si>
  <si>
    <t>Cafú</t>
  </si>
  <si>
    <t>Declan Rice</t>
  </si>
  <si>
    <t>Tonali</t>
  </si>
  <si>
    <t>Pedri</t>
  </si>
  <si>
    <t>Fletcher</t>
  </si>
  <si>
    <t>Mac Allister</t>
  </si>
  <si>
    <t>Rodri</t>
  </si>
  <si>
    <t>Odegaard</t>
  </si>
  <si>
    <t>Kokcu</t>
  </si>
  <si>
    <t>Kimmich</t>
  </si>
  <si>
    <t>Enzo Fernandez</t>
  </si>
  <si>
    <t>Steven Gerard</t>
  </si>
  <si>
    <t>Dani Olmo</t>
  </si>
  <si>
    <t>Totti</t>
  </si>
  <si>
    <t>Messi</t>
  </si>
  <si>
    <t>De Bruyne</t>
  </si>
  <si>
    <t>Neymar</t>
  </si>
  <si>
    <t>Van Nistelrooy</t>
  </si>
  <si>
    <t>Bellingham</t>
  </si>
  <si>
    <t>Romario</t>
  </si>
  <si>
    <t>Rosicky</t>
  </si>
  <si>
    <t>Luis Diaz</t>
  </si>
  <si>
    <t>Mbappe</t>
  </si>
  <si>
    <t>Havertz</t>
  </si>
  <si>
    <t>Van Basten</t>
  </si>
  <si>
    <t>Lamine Yamal</t>
  </si>
  <si>
    <t>Shevchenko</t>
  </si>
  <si>
    <t>Diego Maradona</t>
  </si>
  <si>
    <t>Dembele</t>
  </si>
  <si>
    <t>Darwin Nuñez</t>
  </si>
  <si>
    <t>Rummeniegge</t>
  </si>
  <si>
    <t>Vieri</t>
  </si>
  <si>
    <t>Gabriel Jesus</t>
  </si>
  <si>
    <t>Rice</t>
  </si>
  <si>
    <t>Van Nistelrooij</t>
  </si>
  <si>
    <t>Paredes</t>
  </si>
  <si>
    <t>Osimhen</t>
  </si>
  <si>
    <t/>
  </si>
  <si>
    <t>J. Alvarez</t>
  </si>
  <si>
    <t>Montiel</t>
  </si>
  <si>
    <t>total</t>
  </si>
  <si>
    <t>SUPERCLASICO PES</t>
  </si>
  <si>
    <t>VIUDAS DE GALLARDO</t>
  </si>
  <si>
    <t>CRITERIOS  BALÓN DE ORO</t>
  </si>
  <si>
    <t xml:space="preserve">SOLDADO DE COUDET </t>
  </si>
  <si>
    <t>JUGADORES</t>
  </si>
  <si>
    <t>CANT. GOLES</t>
  </si>
  <si>
    <t>MVP's</t>
  </si>
  <si>
    <t>JUGADOS</t>
  </si>
  <si>
    <t>PROM. GOL</t>
  </si>
  <si>
    <t>TARJ. ROJAS</t>
  </si>
  <si>
    <t>TARJ. AMARILLA</t>
  </si>
  <si>
    <t>PBDO</t>
  </si>
  <si>
    <t>MVP</t>
  </si>
  <si>
    <t>suma 3</t>
  </si>
  <si>
    <t>MVP´s</t>
  </si>
  <si>
    <t>Khan</t>
  </si>
  <si>
    <t>GOL</t>
  </si>
  <si>
    <t>suma 1</t>
  </si>
  <si>
    <t>Cech</t>
  </si>
  <si>
    <t>AMARILLA</t>
  </si>
  <si>
    <t>resta 1</t>
  </si>
  <si>
    <t>ROJA</t>
  </si>
  <si>
    <t>resta 2</t>
  </si>
  <si>
    <t>Suma de puntos Balón de ORO</t>
  </si>
  <si>
    <t>Jugador</t>
  </si>
  <si>
    <t>Puntaje</t>
  </si>
  <si>
    <t>MÁXIMOS GOLEADORES TEMPORADA</t>
  </si>
  <si>
    <t>0-0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</si>
</sst>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0">
    <font>
      <sz val="10.0"/>
      <color rgb="FF000000"/>
      <name val="Arial"/>
      <scheme val="minor"/>
    </font>
    <font>
      <sz val="66.0"/>
      <color theme="1"/>
      <name val="Arial"/>
      <scheme val="minor"/>
    </font>
    <font/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sz val="8.0"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</fills>
  <borders count="15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0" fontId="2" numFmtId="0" xfId="0" applyBorder="1" applyFont="1"/>
    <xf borderId="2" fillId="3" fontId="3" numFmtId="0" xfId="0" applyAlignment="1" applyBorder="1" applyFill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0" fontId="4" numFmtId="0" xfId="0" applyAlignment="1" applyFont="1">
      <alignment readingOrder="0"/>
    </xf>
    <xf borderId="5" fillId="3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5" fillId="4" fontId="4" numFmtId="0" xfId="0" applyBorder="1" applyFill="1" applyFont="1"/>
    <xf borderId="5" fillId="4" fontId="4" numFmtId="0" xfId="0" applyAlignment="1" applyBorder="1" applyFont="1">
      <alignment horizontal="center" readingOrder="0"/>
    </xf>
    <xf borderId="5" fillId="4" fontId="6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5" fillId="5" fontId="4" numFmtId="0" xfId="0" applyAlignment="1" applyBorder="1" applyFill="1" applyFont="1">
      <alignment readingOrder="0"/>
    </xf>
    <xf borderId="5" fillId="0" fontId="5" numFmtId="0" xfId="0" applyAlignment="1" applyBorder="1" applyFont="1">
      <alignment readingOrder="0"/>
    </xf>
    <xf borderId="5" fillId="6" fontId="4" numFmtId="0" xfId="0" applyAlignment="1" applyBorder="1" applyFill="1" applyFont="1">
      <alignment readingOrder="0"/>
    </xf>
    <xf borderId="5" fillId="4" fontId="4" numFmtId="0" xfId="0" applyAlignment="1" applyBorder="1" applyFont="1">
      <alignment horizontal="center"/>
    </xf>
    <xf borderId="5" fillId="7" fontId="4" numFmtId="0" xfId="0" applyAlignment="1" applyBorder="1" applyFill="1" applyFont="1">
      <alignment readingOrder="0"/>
    </xf>
    <xf borderId="5" fillId="0" fontId="5" numFmtId="0" xfId="0" applyBorder="1" applyFont="1"/>
    <xf borderId="5" fillId="6" fontId="5" numFmtId="0" xfId="0" applyBorder="1" applyFont="1"/>
    <xf borderId="8" fillId="2" fontId="4" numFmtId="0" xfId="0" applyAlignment="1" applyBorder="1" applyFont="1">
      <alignment readingOrder="0"/>
    </xf>
    <xf borderId="9" fillId="2" fontId="5" numFmtId="0" xfId="0" applyAlignment="1" applyBorder="1" applyFont="1">
      <alignment readingOrder="0"/>
    </xf>
    <xf borderId="9" fillId="5" fontId="7" numFmtId="0" xfId="0" applyAlignment="1" applyBorder="1" applyFont="1">
      <alignment readingOrder="0"/>
    </xf>
    <xf borderId="9" fillId="0" fontId="5" numFmtId="164" xfId="0" applyAlignment="1" applyBorder="1" applyFont="1" applyNumberFormat="1">
      <alignment readingOrder="0"/>
    </xf>
    <xf borderId="8" fillId="5" fontId="7" numFmtId="0" xfId="0" applyAlignment="1" applyBorder="1" applyFont="1">
      <alignment readingOrder="0"/>
    </xf>
    <xf borderId="8" fillId="0" fontId="5" numFmtId="164" xfId="0" applyAlignment="1" applyBorder="1" applyFont="1" applyNumberFormat="1">
      <alignment readingOrder="0"/>
    </xf>
    <xf borderId="5" fillId="8" fontId="4" numFmtId="0" xfId="0" applyAlignment="1" applyBorder="1" applyFill="1" applyFont="1">
      <alignment readingOrder="0"/>
    </xf>
    <xf borderId="9" fillId="0" fontId="5" numFmtId="0" xfId="0" applyAlignment="1" applyBorder="1" applyFont="1">
      <alignment readingOrder="0"/>
    </xf>
    <xf borderId="5" fillId="5" fontId="7" numFmtId="0" xfId="0" applyAlignment="1" applyBorder="1" applyFont="1">
      <alignment readingOrder="0"/>
    </xf>
    <xf borderId="9" fillId="2" fontId="5" numFmtId="0" xfId="0" applyAlignment="1" applyBorder="1" applyFont="1">
      <alignment horizontal="left"/>
    </xf>
    <xf borderId="9" fillId="2" fontId="4" numFmtId="0" xfId="0" applyAlignment="1" applyBorder="1" applyFont="1">
      <alignment readingOrder="0"/>
    </xf>
    <xf borderId="3" fillId="2" fontId="4" numFmtId="0" xfId="0" applyAlignment="1" applyBorder="1" applyFont="1">
      <alignment horizontal="center"/>
    </xf>
    <xf borderId="5" fillId="2" fontId="5" numFmtId="0" xfId="0" applyBorder="1" applyFont="1"/>
    <xf borderId="2" fillId="2" fontId="5" numFmtId="0" xfId="0" applyBorder="1" applyFont="1"/>
    <xf borderId="2" fillId="9" fontId="4" numFmtId="0" xfId="0" applyAlignment="1" applyBorder="1" applyFill="1" applyFont="1">
      <alignment horizontal="center" readingOrder="0"/>
    </xf>
    <xf borderId="2" fillId="10" fontId="5" numFmtId="0" xfId="0" applyAlignment="1" applyBorder="1" applyFill="1" applyFont="1">
      <alignment horizontal="center" readingOrder="0"/>
    </xf>
    <xf borderId="10" fillId="10" fontId="5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8" numFmtId="0" xfId="0" applyFont="1"/>
    <xf borderId="14" fillId="0" fontId="2" numFmtId="0" xfId="0" applyBorder="1" applyFont="1"/>
    <xf borderId="0" fillId="0" fontId="8" numFmtId="0" xfId="0" applyAlignment="1" applyFont="1">
      <alignment readingOrder="0"/>
    </xf>
    <xf borderId="0" fillId="0" fontId="5" numFmtId="0" xfId="0" applyFont="1"/>
    <xf borderId="2" fillId="2" fontId="9" numFmtId="0" xfId="0" applyAlignment="1" applyBorder="1" applyFont="1">
      <alignment horizontal="center" readingOrder="0"/>
    </xf>
    <xf borderId="2" fillId="11" fontId="4" numFmtId="0" xfId="0" applyAlignment="1" applyBorder="1" applyFill="1" applyFont="1">
      <alignment readingOrder="0"/>
    </xf>
    <xf borderId="3" fillId="11" fontId="4" numFmtId="0" xfId="0" applyAlignment="1" applyBorder="1" applyFont="1">
      <alignment readingOrder="0"/>
    </xf>
    <xf borderId="2" fillId="12" fontId="4" numFmtId="0" xfId="0" applyAlignment="1" applyBorder="1" applyFill="1" applyFont="1">
      <alignment readingOrder="0"/>
    </xf>
    <xf borderId="5" fillId="13" fontId="4" numFmtId="0" xfId="0" applyAlignment="1" applyBorder="1" applyFill="1" applyFont="1">
      <alignment readingOrder="0"/>
    </xf>
    <xf borderId="5" fillId="14" fontId="4" numFmtId="0" xfId="0" applyAlignment="1" applyBorder="1" applyFill="1" applyFont="1">
      <alignment readingOrder="0"/>
    </xf>
    <xf borderId="5" fillId="2" fontId="4" numFmtId="0" xfId="0" applyAlignment="1" applyBorder="1" applyFont="1">
      <alignment readingOrder="0"/>
    </xf>
    <xf borderId="5" fillId="15" fontId="4" numFmtId="0" xfId="0" applyAlignment="1" applyBorder="1" applyFill="1" applyFont="1">
      <alignment readingOrder="0"/>
    </xf>
    <xf borderId="5" fillId="16" fontId="4" numFmtId="2" xfId="0" applyAlignment="1" applyBorder="1" applyFill="1" applyFont="1" applyNumberFormat="1">
      <alignment readingOrder="0"/>
    </xf>
    <xf borderId="5" fillId="17" fontId="4" numFmtId="0" xfId="0" applyAlignment="1" applyBorder="1" applyFill="1" applyFont="1">
      <alignment readingOrder="0"/>
    </xf>
    <xf borderId="2" fillId="8" fontId="4" numFmtId="0" xfId="0" applyAlignment="1" applyBorder="1" applyFont="1">
      <alignment readingOrder="0"/>
    </xf>
    <xf borderId="5" fillId="8" fontId="5" numFmtId="0" xfId="0" applyAlignment="1" applyBorder="1" applyFont="1">
      <alignment readingOrder="0"/>
    </xf>
    <xf borderId="5" fillId="13" fontId="5" numFmtId="0" xfId="0" applyAlignment="1" applyBorder="1" applyFont="1">
      <alignment readingOrder="0"/>
    </xf>
    <xf borderId="5" fillId="14" fontId="5" numFmtId="0" xfId="0" applyAlignment="1" applyBorder="1" applyFont="1">
      <alignment readingOrder="0"/>
    </xf>
    <xf borderId="5" fillId="2" fontId="5" numFmtId="0" xfId="0" applyAlignment="1" applyBorder="1" applyFont="1">
      <alignment readingOrder="0"/>
    </xf>
    <xf borderId="5" fillId="15" fontId="5" numFmtId="0" xfId="0" applyAlignment="1" applyBorder="1" applyFont="1">
      <alignment readingOrder="0"/>
    </xf>
    <xf borderId="5" fillId="16" fontId="5" numFmtId="2" xfId="0" applyBorder="1" applyFont="1" applyNumberFormat="1"/>
    <xf borderId="5" fillId="17" fontId="5" numFmtId="0" xfId="0" applyAlignment="1" applyBorder="1" applyFont="1">
      <alignment readingOrder="0"/>
    </xf>
    <xf borderId="5" fillId="10" fontId="5" numFmtId="0" xfId="0" applyAlignment="1" applyBorder="1" applyFont="1">
      <alignment readingOrder="0"/>
    </xf>
    <xf borderId="5" fillId="15" fontId="4" numFmtId="0" xfId="0" applyAlignment="1" applyBorder="1" applyFont="1">
      <alignment horizontal="center" readingOrder="0"/>
    </xf>
    <xf borderId="5" fillId="16" fontId="5" numFmtId="4" xfId="0" applyBorder="1" applyFont="1" applyNumberFormat="1"/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4" fillId="13" fontId="5" numFmtId="0" xfId="0" applyBorder="1" applyFont="1"/>
    <xf borderId="5" fillId="14" fontId="5" numFmtId="0" xfId="0" applyBorder="1" applyFont="1"/>
    <xf borderId="5" fillId="15" fontId="5" numFmtId="0" xfId="0" applyBorder="1" applyFont="1"/>
    <xf borderId="5" fillId="17" fontId="5" numFmtId="0" xfId="0" applyBorder="1" applyFont="1"/>
    <xf borderId="5" fillId="13" fontId="5" numFmtId="0" xfId="0" applyBorder="1" applyFont="1"/>
    <xf borderId="2" fillId="18" fontId="9" numFmtId="0" xfId="0" applyAlignment="1" applyBorder="1" applyFill="1" applyFont="1">
      <alignment horizontal="center" readingOrder="0"/>
    </xf>
    <xf borderId="5" fillId="6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000000"/>
          <bgColor rgb="FF000000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81150" cy="15525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0</xdr:row>
      <xdr:rowOff>66675</xdr:rowOff>
    </xdr:from>
    <xdr:ext cx="1209675" cy="15525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23</xdr:row>
      <xdr:rowOff>19050</xdr:rowOff>
    </xdr:from>
    <xdr:ext cx="3657600" cy="34766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762000</xdr:colOff>
      <xdr:row>42</xdr:row>
      <xdr:rowOff>57150</xdr:rowOff>
    </xdr:from>
    <xdr:ext cx="1790700" cy="17526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628650</xdr:colOff>
      <xdr:row>42</xdr:row>
      <xdr:rowOff>190500</xdr:rowOff>
    </xdr:from>
    <xdr:ext cx="1276350" cy="16192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847725</xdr:colOff>
      <xdr:row>42</xdr:row>
      <xdr:rowOff>19050</xdr:rowOff>
    </xdr:from>
    <xdr:ext cx="1790700" cy="17526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42</xdr:row>
      <xdr:rowOff>85725</xdr:rowOff>
    </xdr:from>
    <xdr:ext cx="1276350" cy="16192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B12 &amp; " - " &amp; E12</f>
        <v>12 - 14</v>
      </c>
      <c r="E1" s="2"/>
      <c r="G1" s="3" t="s">
        <v>0</v>
      </c>
      <c r="H1" s="4"/>
      <c r="I1" s="5"/>
      <c r="K1" s="6"/>
      <c r="P1" s="6"/>
    </row>
    <row r="2">
      <c r="E2" s="2"/>
      <c r="G2" s="7" t="s">
        <v>1</v>
      </c>
      <c r="H2" s="7" t="s">
        <v>2</v>
      </c>
      <c r="I2" s="8" t="s">
        <v>3</v>
      </c>
      <c r="K2" s="9"/>
      <c r="M2" s="9"/>
      <c r="N2" s="9"/>
      <c r="P2" s="9"/>
      <c r="R2" s="9"/>
      <c r="S2" s="9"/>
    </row>
    <row r="3">
      <c r="E3" s="2"/>
      <c r="G3" s="10" t="str">
        <f>IFERROR(__xludf.DUMMYFUNCTION("IFERROR(SORTN(FILTER({N27:P120; R27:T120}, {O27:O120; S27:S120} &lt;&gt; """"), 10, 0, 2, FALSE), """")"),"Luis Diaz")</f>
        <v>Luis Diaz</v>
      </c>
      <c r="H3" s="10">
        <f>IFERROR(__xludf.DUMMYFUNCTION("""COMPUTED_VALUE"""),37.0)</f>
        <v>37</v>
      </c>
      <c r="I3" s="11" t="str">
        <f>IFERROR(__xludf.DUMMYFUNCTION("""COMPUTED_VALUE"""),"(SDC)")</f>
        <v>(SDC)</v>
      </c>
    </row>
    <row r="4">
      <c r="E4" s="2"/>
      <c r="G4" s="10" t="str">
        <f>IFERROR(__xludf.DUMMYFUNCTION("""COMPUTED_VALUE"""),"Van Basten")</f>
        <v>Van Basten</v>
      </c>
      <c r="H4" s="10">
        <f>IFERROR(__xludf.DUMMYFUNCTION("""COMPUTED_VALUE"""),36.0)</f>
        <v>36</v>
      </c>
      <c r="I4" s="11" t="str">
        <f>IFERROR(__xludf.DUMMYFUNCTION("""COMPUTED_VALUE""")," (VDG)")</f>
        <v> (VDG)</v>
      </c>
    </row>
    <row r="5">
      <c r="E5" s="2"/>
      <c r="G5" s="10" t="str">
        <f>IFERROR(__xludf.DUMMYFUNCTION("""COMPUTED_VALUE"""),"Havertz")</f>
        <v>Havertz</v>
      </c>
      <c r="H5" s="10">
        <f>IFERROR(__xludf.DUMMYFUNCTION("""COMPUTED_VALUE"""),36.0)</f>
        <v>36</v>
      </c>
      <c r="I5" s="11" t="str">
        <f>IFERROR(__xludf.DUMMYFUNCTION("""COMPUTED_VALUE"""),"(SDC)")</f>
        <v>(SDC)</v>
      </c>
    </row>
    <row r="6">
      <c r="E6" s="2"/>
      <c r="G6" s="10" t="str">
        <f>IFERROR(__xludf.DUMMYFUNCTION("""COMPUTED_VALUE"""),"Shevchenko")</f>
        <v>Shevchenko</v>
      </c>
      <c r="H6" s="10">
        <f>IFERROR(__xludf.DUMMYFUNCTION("""COMPUTED_VALUE"""),14.0)</f>
        <v>14</v>
      </c>
      <c r="I6" s="11" t="str">
        <f>IFERROR(__xludf.DUMMYFUNCTION("""COMPUTED_VALUE""")," (VDG)")</f>
        <v> (VDG)</v>
      </c>
    </row>
    <row r="7">
      <c r="E7" s="2"/>
      <c r="G7" s="12" t="str">
        <f>IFERROR(__xludf.DUMMYFUNCTION("""COMPUTED_VALUE"""),"Van Nistelrooij")</f>
        <v>Van Nistelrooij</v>
      </c>
      <c r="H7" s="10">
        <f>IFERROR(__xludf.DUMMYFUNCTION("""COMPUTED_VALUE"""),13.0)</f>
        <v>13</v>
      </c>
      <c r="I7" s="11" t="str">
        <f>IFERROR(__xludf.DUMMYFUNCTION("""COMPUTED_VALUE""")," (VDG)")</f>
        <v> (VDG)</v>
      </c>
    </row>
    <row r="8">
      <c r="E8" s="2"/>
      <c r="G8" s="12" t="str">
        <f>IFERROR(__xludf.DUMMYFUNCTION("""COMPUTED_VALUE"""),"Mbappe")</f>
        <v>Mbappe</v>
      </c>
      <c r="H8" s="10">
        <f>IFERROR(__xludf.DUMMYFUNCTION("""COMPUTED_VALUE"""),10.0)</f>
        <v>10</v>
      </c>
      <c r="I8" s="11" t="str">
        <f>IFERROR(__xludf.DUMMYFUNCTION("""COMPUTED_VALUE""")," (VDG)")</f>
        <v> (VDG)</v>
      </c>
    </row>
    <row r="9">
      <c r="E9" s="2"/>
      <c r="G9" s="10" t="str">
        <f>IFERROR(__xludf.DUMMYFUNCTION("""COMPUTED_VALUE"""),"Dani Olmo")</f>
        <v>Dani Olmo</v>
      </c>
      <c r="H9" s="10">
        <f>IFERROR(__xludf.DUMMYFUNCTION("""COMPUTED_VALUE"""),10.0)</f>
        <v>10</v>
      </c>
      <c r="I9" s="11" t="str">
        <f>IFERROR(__xludf.DUMMYFUNCTION("""COMPUTED_VALUE"""),"(SDC)")</f>
        <v>(SDC)</v>
      </c>
    </row>
    <row r="10">
      <c r="E10" s="2"/>
      <c r="G10" s="10" t="str">
        <f>IFERROR(__xludf.DUMMYFUNCTION("""COMPUTED_VALUE"""),"Van Nistelrooy")</f>
        <v>Van Nistelrooy</v>
      </c>
      <c r="H10" s="10">
        <f>IFERROR(__xludf.DUMMYFUNCTION("""COMPUTED_VALUE"""),7.0)</f>
        <v>7</v>
      </c>
      <c r="I10" s="11" t="str">
        <f>IFERROR(__xludf.DUMMYFUNCTION("""COMPUTED_VALUE"""),"(SDC)")</f>
        <v>(SDC)</v>
      </c>
    </row>
    <row r="11">
      <c r="A11" s="13"/>
      <c r="B11" s="13"/>
      <c r="C11" s="13"/>
      <c r="D11" s="13"/>
      <c r="E11" s="14"/>
      <c r="G11" s="10" t="str">
        <f>IFERROR(__xludf.DUMMYFUNCTION("""COMPUTED_VALUE"""),"Vieri")</f>
        <v>Vieri</v>
      </c>
      <c r="H11" s="10">
        <f>IFERROR(__xludf.DUMMYFUNCTION("""COMPUTED_VALUE"""),7.0)</f>
        <v>7</v>
      </c>
      <c r="I11" s="11" t="str">
        <f>IFERROR(__xludf.DUMMYFUNCTION("""COMPUTED_VALUE"""),"(SDC)")</f>
        <v>(SDC)</v>
      </c>
    </row>
    <row r="12">
      <c r="A12" s="15" t="s">
        <v>4</v>
      </c>
      <c r="B12" s="16">
        <f>'TEMPORADA 1'!I54 + 'TEMPORADA 2'!I54</f>
        <v>12</v>
      </c>
      <c r="C12" s="17" t="s">
        <v>5</v>
      </c>
      <c r="D12" s="15" t="s">
        <v>4</v>
      </c>
      <c r="E12" s="16">
        <f>'TEMPORADA 1'!L54 + 'TEMPORADA 2'!L54</f>
        <v>14</v>
      </c>
      <c r="G12" s="10" t="str">
        <f>IFERROR(__xludf.DUMMYFUNCTION("""COMPUTED_VALUE"""),"Dembele")</f>
        <v>Dembele</v>
      </c>
      <c r="H12" s="10">
        <f>IFERROR(__xludf.DUMMYFUNCTION("""COMPUTED_VALUE"""),6.0)</f>
        <v>6</v>
      </c>
      <c r="I12" s="18" t="str">
        <f>IFERROR(__xludf.DUMMYFUNCTION("""COMPUTED_VALUE""")," (VDG)")</f>
        <v> (VDG)</v>
      </c>
    </row>
    <row r="13">
      <c r="A13" s="19" t="s">
        <v>6</v>
      </c>
      <c r="B13" s="20">
        <f>'TEMPORADA 1'!I55 + 'TEMPORADA 2'!I55</f>
        <v>14</v>
      </c>
      <c r="C13" s="21">
        <f>B12+E12+B14</f>
        <v>30</v>
      </c>
      <c r="D13" s="19" t="s">
        <v>6</v>
      </c>
      <c r="E13" s="20">
        <f>B12</f>
        <v>12</v>
      </c>
    </row>
    <row r="14">
      <c r="A14" s="15" t="s">
        <v>7</v>
      </c>
      <c r="B14" s="16">
        <f>'TEMPORADA 1'!I56 + 'TEMPORADA 2'!I56</f>
        <v>4</v>
      </c>
      <c r="C14" s="22" t="s">
        <v>8</v>
      </c>
      <c r="D14" s="15" t="s">
        <v>7</v>
      </c>
      <c r="E14" s="16">
        <v>4.0</v>
      </c>
    </row>
    <row r="15">
      <c r="A15" s="19" t="s">
        <v>9</v>
      </c>
      <c r="B15" s="20">
        <f>'TEMPORADA 1'!I57 + 'TEMPORADA 2'!I57</f>
        <v>-2</v>
      </c>
      <c r="C15" s="23">
        <v>2.0</v>
      </c>
      <c r="D15" s="19" t="s">
        <v>9</v>
      </c>
      <c r="E15" s="20">
        <f>E12-E13</f>
        <v>2</v>
      </c>
    </row>
    <row r="16">
      <c r="A16" s="24" t="s">
        <v>10</v>
      </c>
      <c r="B16" s="25">
        <v>46122.0</v>
      </c>
      <c r="D16" s="26" t="s">
        <v>10</v>
      </c>
      <c r="E16" s="27">
        <v>46091.0</v>
      </c>
    </row>
    <row r="17">
      <c r="A17" s="28" t="s">
        <v>11</v>
      </c>
      <c r="B17" s="20">
        <f>'TEMPORADA 1'!I59 + 'TEMPORADA 2'!I59</f>
        <v>115</v>
      </c>
      <c r="D17" s="19" t="s">
        <v>11</v>
      </c>
      <c r="E17" s="20">
        <f>SUM(S27:S120)</f>
        <v>130</v>
      </c>
    </row>
    <row r="18">
      <c r="A18" s="24" t="s">
        <v>12</v>
      </c>
      <c r="B18" s="29">
        <f>'TEMPORADA 1'!I60 + 'TEMPORADA 2'!I60</f>
        <v>6</v>
      </c>
      <c r="D18" s="30" t="s">
        <v>12</v>
      </c>
      <c r="E18" s="16">
        <v>7.0</v>
      </c>
    </row>
    <row r="19">
      <c r="A19" s="31">
        <f>B12</f>
        <v>12</v>
      </c>
      <c r="B19" s="32" t="s">
        <v>13</v>
      </c>
      <c r="C19" s="33" t="str">
        <f>IF(E13 &gt; B13, "VIUDAS DE GALLARDO", IF(B13 &gt; E13, "SOLDADO DE COUDET", "¡EMPATE HISTÓRICO!"))</f>
        <v>SOLDADO DE COUDET</v>
      </c>
      <c r="D19" s="5"/>
      <c r="E19" s="34">
        <f>E12</f>
        <v>14</v>
      </c>
    </row>
    <row r="20">
      <c r="A20" s="35" t="str">
        <f>IFERROR(__xludf.DUMMYFUNCTION("SPARKLINE({B12, B14*1, E12}, {""charttype"", ""bar""; ""color1"", ""#202020""; ""color2"", ""#A0A0A0""; ""color3"", ""#FFFFFF""})"),"")</f>
        <v/>
      </c>
      <c r="B20" s="4"/>
      <c r="C20" s="4"/>
      <c r="D20" s="4"/>
      <c r="E20" s="5"/>
    </row>
    <row r="22">
      <c r="A22" s="36" t="s">
        <v>14</v>
      </c>
      <c r="B22" s="4"/>
      <c r="C22" s="4"/>
      <c r="D22" s="4"/>
      <c r="E22" s="4"/>
      <c r="F22" s="4"/>
      <c r="G22" s="4"/>
      <c r="H22" s="5"/>
    </row>
    <row r="23">
      <c r="A23" s="37" t="s">
        <v>15</v>
      </c>
      <c r="B23" s="4"/>
      <c r="C23" s="4"/>
      <c r="D23" s="5"/>
      <c r="E23" s="37" t="s">
        <v>16</v>
      </c>
      <c r="F23" s="4"/>
      <c r="G23" s="4"/>
      <c r="H23" s="5"/>
    </row>
    <row r="24">
      <c r="A24" s="38"/>
      <c r="B24" s="39"/>
      <c r="C24" s="39"/>
      <c r="D24" s="40"/>
      <c r="E24" s="38"/>
      <c r="F24" s="39"/>
      <c r="G24" s="39"/>
      <c r="H24" s="40"/>
    </row>
    <row r="25">
      <c r="A25" s="41"/>
      <c r="D25" s="2"/>
      <c r="E25" s="41"/>
      <c r="H25" s="2"/>
    </row>
    <row r="26">
      <c r="A26" s="41"/>
      <c r="D26" s="2"/>
      <c r="E26" s="41"/>
      <c r="H26" s="2"/>
    </row>
    <row r="27">
      <c r="A27" s="41"/>
      <c r="D27" s="2"/>
      <c r="E27" s="41"/>
      <c r="H27" s="2"/>
      <c r="N27" s="42" t="str">
        <f t="array" ref="N27:N60">UNIQUE({'TEMPORADA 1'!A4:A50; 'TEMPORADA 2'!A4:A50})</f>
        <v>Khan</v>
      </c>
      <c r="O27" s="42">
        <f t="array" ref="O27:O120">IF(N27:N120="", "", SUMIF('TEMPORADA 1'!A$4:A$50, N27:N120, 'TEMPORADA 1'!B$4:B$50) + SUMIF('TEMPORADA 2'!A$4:A$50, N27:N120, 'TEMPORADA 2'!B$4:B$50))</f>
        <v>4</v>
      </c>
      <c r="P27" s="42" t="str">
        <f t="array" ref="P27:P120">IF(N27:N120="", "", 'TEMPORADA 2'!$C$2)</f>
        <v> (VDG)</v>
      </c>
      <c r="Q27" s="42"/>
      <c r="R27" s="42" t="str">
        <f t="array" ref="R27:R56">UNIQUE({'TEMPORADA 1'!L4:L41; 'TEMPORADA 2'!L4:L41})</f>
        <v>Cech</v>
      </c>
      <c r="S27" s="42">
        <f t="array" ref="S27:S120">IF(R27:R120="", "", SUMIF('TEMPORADA 1'!L$4:L$41, R27:R120, 'TEMPORADA 1'!M$4:M$50) + SUMIF('TEMPORADA 2'!L$4:L$41, R27:R120, 'TEMPORADA 2'!M$4:M$50))</f>
        <v>0</v>
      </c>
      <c r="T27" s="42" t="str">
        <f t="array" ref="T27:T120">IF(R27:R120="", "", 'TEMPORADA 2'!$N$2)</f>
        <v>(SDC)</v>
      </c>
      <c r="U27" s="42"/>
    </row>
    <row r="28">
      <c r="A28" s="41"/>
      <c r="D28" s="2"/>
      <c r="E28" s="41"/>
      <c r="H28" s="2"/>
      <c r="N28" s="42" t="s">
        <v>17</v>
      </c>
      <c r="O28" s="42">
        <v>0.0</v>
      </c>
      <c r="P28" s="42" t="s">
        <v>18</v>
      </c>
      <c r="Q28" s="42"/>
      <c r="R28" s="42" t="s">
        <v>19</v>
      </c>
      <c r="S28" s="42">
        <v>0.0</v>
      </c>
      <c r="T28" s="42" t="s">
        <v>20</v>
      </c>
      <c r="U28" s="42"/>
    </row>
    <row r="29">
      <c r="A29" s="41"/>
      <c r="D29" s="2"/>
      <c r="E29" s="41"/>
      <c r="H29" s="2"/>
      <c r="N29" s="42" t="s">
        <v>21</v>
      </c>
      <c r="O29" s="42">
        <v>0.0</v>
      </c>
      <c r="P29" s="42" t="s">
        <v>18</v>
      </c>
      <c r="Q29" s="42"/>
      <c r="R29" s="42" t="s">
        <v>22</v>
      </c>
      <c r="S29" s="42">
        <v>0.0</v>
      </c>
      <c r="T29" s="42" t="s">
        <v>20</v>
      </c>
      <c r="U29" s="42"/>
    </row>
    <row r="30">
      <c r="A30" s="41"/>
      <c r="D30" s="2"/>
      <c r="E30" s="41"/>
      <c r="H30" s="2"/>
      <c r="N30" s="42" t="s">
        <v>23</v>
      </c>
      <c r="O30" s="42">
        <v>0.0</v>
      </c>
      <c r="P30" s="42" t="s">
        <v>18</v>
      </c>
      <c r="Q30" s="42"/>
      <c r="R30" s="42" t="s">
        <v>24</v>
      </c>
      <c r="S30" s="42">
        <v>0.0</v>
      </c>
      <c r="T30" s="42" t="s">
        <v>20</v>
      </c>
      <c r="U30" s="42"/>
    </row>
    <row r="31">
      <c r="A31" s="41"/>
      <c r="D31" s="2"/>
      <c r="E31" s="41"/>
      <c r="H31" s="2"/>
      <c r="N31" s="42" t="s">
        <v>25</v>
      </c>
      <c r="O31" s="42">
        <v>0.0</v>
      </c>
      <c r="P31" s="42" t="s">
        <v>18</v>
      </c>
      <c r="Q31" s="42"/>
      <c r="R31" s="42" t="s">
        <v>26</v>
      </c>
      <c r="S31" s="42">
        <v>0.0</v>
      </c>
      <c r="T31" s="42" t="s">
        <v>20</v>
      </c>
      <c r="U31" s="42"/>
    </row>
    <row r="32">
      <c r="A32" s="41"/>
      <c r="D32" s="2"/>
      <c r="E32" s="41"/>
      <c r="H32" s="2"/>
      <c r="N32" s="42" t="s">
        <v>27</v>
      </c>
      <c r="O32" s="42">
        <v>0.0</v>
      </c>
      <c r="P32" s="42" t="s">
        <v>18</v>
      </c>
      <c r="Q32" s="42"/>
      <c r="R32" s="42" t="s">
        <v>28</v>
      </c>
      <c r="S32" s="42">
        <v>0.0</v>
      </c>
      <c r="T32" s="42" t="s">
        <v>20</v>
      </c>
      <c r="U32" s="42"/>
    </row>
    <row r="33">
      <c r="A33" s="41"/>
      <c r="D33" s="2"/>
      <c r="E33" s="41"/>
      <c r="H33" s="2"/>
      <c r="N33" s="42" t="s">
        <v>29</v>
      </c>
      <c r="O33" s="42">
        <v>2.0</v>
      </c>
      <c r="P33" s="42" t="s">
        <v>18</v>
      </c>
      <c r="Q33" s="42"/>
      <c r="R33" s="42" t="s">
        <v>30</v>
      </c>
      <c r="S33" s="42">
        <v>0.0</v>
      </c>
      <c r="T33" s="42" t="s">
        <v>20</v>
      </c>
      <c r="U33" s="42"/>
    </row>
    <row r="34">
      <c r="A34" s="41"/>
      <c r="D34" s="2"/>
      <c r="E34" s="41"/>
      <c r="H34" s="2"/>
      <c r="N34" s="42" t="s">
        <v>31</v>
      </c>
      <c r="O34" s="42">
        <v>1.0</v>
      </c>
      <c r="P34" s="42" t="s">
        <v>18</v>
      </c>
      <c r="Q34" s="42"/>
      <c r="R34" s="42" t="s">
        <v>32</v>
      </c>
      <c r="S34" s="42">
        <v>0.0</v>
      </c>
      <c r="T34" s="42" t="s">
        <v>20</v>
      </c>
      <c r="U34" s="42"/>
    </row>
    <row r="35">
      <c r="A35" s="41"/>
      <c r="D35" s="2"/>
      <c r="E35" s="41"/>
      <c r="H35" s="2"/>
      <c r="N35" s="42" t="s">
        <v>33</v>
      </c>
      <c r="O35" s="42">
        <v>0.0</v>
      </c>
      <c r="P35" s="42" t="s">
        <v>18</v>
      </c>
      <c r="Q35" s="42"/>
      <c r="R35" s="42" t="s">
        <v>34</v>
      </c>
      <c r="S35" s="42">
        <v>2.0</v>
      </c>
      <c r="T35" s="42" t="s">
        <v>20</v>
      </c>
      <c r="U35" s="42"/>
    </row>
    <row r="36">
      <c r="A36" s="41"/>
      <c r="D36" s="2"/>
      <c r="E36" s="41"/>
      <c r="H36" s="2"/>
      <c r="N36" s="42" t="s">
        <v>35</v>
      </c>
      <c r="O36" s="42">
        <v>1.0</v>
      </c>
      <c r="P36" s="42" t="s">
        <v>18</v>
      </c>
      <c r="Q36" s="42"/>
      <c r="R36" s="42" t="s">
        <v>36</v>
      </c>
      <c r="S36" s="42">
        <v>1.0</v>
      </c>
      <c r="T36" s="42" t="s">
        <v>20</v>
      </c>
      <c r="U36" s="42"/>
    </row>
    <row r="37">
      <c r="A37" s="41"/>
      <c r="D37" s="2"/>
      <c r="E37" s="41"/>
      <c r="H37" s="2"/>
      <c r="N37" s="42" t="s">
        <v>37</v>
      </c>
      <c r="O37" s="42">
        <v>3.0</v>
      </c>
      <c r="P37" s="42" t="s">
        <v>18</v>
      </c>
      <c r="Q37" s="42"/>
      <c r="R37" s="42" t="s">
        <v>38</v>
      </c>
      <c r="S37" s="42">
        <v>0.0</v>
      </c>
      <c r="T37" s="42" t="s">
        <v>20</v>
      </c>
      <c r="U37" s="42"/>
    </row>
    <row r="38">
      <c r="A38" s="41"/>
      <c r="D38" s="2"/>
      <c r="E38" s="41"/>
      <c r="H38" s="2"/>
      <c r="N38" s="42" t="s">
        <v>39</v>
      </c>
      <c r="O38" s="42">
        <v>0.0</v>
      </c>
      <c r="P38" s="42" t="s">
        <v>18</v>
      </c>
      <c r="Q38" s="42"/>
      <c r="R38" s="42" t="s">
        <v>40</v>
      </c>
      <c r="S38" s="42">
        <v>0.0</v>
      </c>
      <c r="T38" s="42" t="s">
        <v>20</v>
      </c>
      <c r="U38" s="42"/>
    </row>
    <row r="39">
      <c r="A39" s="41"/>
      <c r="D39" s="2"/>
      <c r="E39" s="41"/>
      <c r="H39" s="2"/>
      <c r="N39" s="42" t="s">
        <v>41</v>
      </c>
      <c r="O39" s="42">
        <v>2.0</v>
      </c>
      <c r="P39" s="42" t="s">
        <v>18</v>
      </c>
      <c r="Q39" s="42"/>
      <c r="R39" s="42" t="s">
        <v>39</v>
      </c>
      <c r="S39" s="42">
        <v>4.0</v>
      </c>
      <c r="T39" s="42" t="s">
        <v>20</v>
      </c>
      <c r="U39" s="42"/>
    </row>
    <row r="40">
      <c r="A40" s="41"/>
      <c r="D40" s="2"/>
      <c r="E40" s="41"/>
      <c r="H40" s="2"/>
      <c r="N40" s="42" t="s">
        <v>42</v>
      </c>
      <c r="O40" s="42">
        <v>0.0</v>
      </c>
      <c r="P40" s="42" t="s">
        <v>18</v>
      </c>
      <c r="Q40" s="42"/>
      <c r="R40" s="42" t="s">
        <v>37</v>
      </c>
      <c r="S40" s="42">
        <v>4.0</v>
      </c>
      <c r="T40" s="42" t="s">
        <v>20</v>
      </c>
      <c r="U40" s="42"/>
    </row>
    <row r="41">
      <c r="A41" s="43"/>
      <c r="B41" s="13"/>
      <c r="C41" s="13"/>
      <c r="D41" s="14"/>
      <c r="E41" s="43"/>
      <c r="F41" s="13"/>
      <c r="G41" s="13"/>
      <c r="H41" s="14"/>
      <c r="N41" s="42" t="s">
        <v>43</v>
      </c>
      <c r="O41" s="42">
        <v>2.0</v>
      </c>
      <c r="P41" s="42" t="s">
        <v>18</v>
      </c>
      <c r="Q41" s="42"/>
      <c r="R41" s="42" t="s">
        <v>44</v>
      </c>
      <c r="S41" s="42">
        <v>3.0</v>
      </c>
      <c r="T41" s="42" t="s">
        <v>20</v>
      </c>
      <c r="U41" s="42"/>
    </row>
    <row r="42">
      <c r="N42" s="42" t="s">
        <v>45</v>
      </c>
      <c r="O42" s="42">
        <v>1.0</v>
      </c>
      <c r="P42" s="42" t="s">
        <v>18</v>
      </c>
      <c r="Q42" s="42"/>
      <c r="R42" s="42" t="s">
        <v>46</v>
      </c>
      <c r="S42" s="42">
        <v>10.0</v>
      </c>
      <c r="T42" s="42" t="s">
        <v>20</v>
      </c>
      <c r="U42" s="42"/>
    </row>
    <row r="43">
      <c r="N43" s="42" t="s">
        <v>47</v>
      </c>
      <c r="O43" s="42">
        <v>3.0</v>
      </c>
      <c r="P43" s="42" t="s">
        <v>18</v>
      </c>
      <c r="Q43" s="42"/>
      <c r="R43" s="42" t="s">
        <v>48</v>
      </c>
      <c r="S43" s="42">
        <v>6.0</v>
      </c>
      <c r="T43" s="42" t="s">
        <v>20</v>
      </c>
      <c r="U43" s="42"/>
    </row>
    <row r="44">
      <c r="N44" s="42" t="s">
        <v>49</v>
      </c>
      <c r="O44" s="42">
        <v>2.0</v>
      </c>
      <c r="P44" s="42" t="s">
        <v>18</v>
      </c>
      <c r="Q44" s="42"/>
      <c r="R44" s="42" t="s">
        <v>50</v>
      </c>
      <c r="S44" s="42">
        <v>1.0</v>
      </c>
      <c r="T44" s="42" t="s">
        <v>20</v>
      </c>
      <c r="U44" s="42"/>
    </row>
    <row r="45">
      <c r="N45" s="42" t="s">
        <v>50</v>
      </c>
      <c r="O45" s="42">
        <v>5.0</v>
      </c>
      <c r="P45" s="42" t="s">
        <v>18</v>
      </c>
      <c r="Q45" s="42"/>
      <c r="R45" s="42" t="s">
        <v>51</v>
      </c>
      <c r="S45" s="42">
        <v>7.0</v>
      </c>
      <c r="T45" s="42" t="s">
        <v>20</v>
      </c>
      <c r="U45" s="42"/>
    </row>
    <row r="46">
      <c r="N46" s="42" t="s">
        <v>52</v>
      </c>
      <c r="O46" s="42">
        <v>5.0</v>
      </c>
      <c r="P46" s="42" t="s">
        <v>18</v>
      </c>
      <c r="Q46" s="42"/>
      <c r="R46" s="42" t="s">
        <v>53</v>
      </c>
      <c r="S46" s="42">
        <v>1.0</v>
      </c>
      <c r="T46" s="42" t="s">
        <v>20</v>
      </c>
      <c r="U46" s="42"/>
    </row>
    <row r="47">
      <c r="N47" s="42" t="s">
        <v>54</v>
      </c>
      <c r="O47" s="42">
        <v>3.0</v>
      </c>
      <c r="P47" s="42" t="s">
        <v>18</v>
      </c>
      <c r="Q47" s="42"/>
      <c r="R47" s="42" t="s">
        <v>55</v>
      </c>
      <c r="S47" s="42">
        <v>37.0</v>
      </c>
      <c r="T47" s="42" t="s">
        <v>20</v>
      </c>
      <c r="U47" s="42"/>
    </row>
    <row r="48">
      <c r="N48" s="42" t="s">
        <v>56</v>
      </c>
      <c r="O48" s="42">
        <v>10.0</v>
      </c>
      <c r="P48" s="42" t="s">
        <v>18</v>
      </c>
      <c r="Q48" s="42"/>
      <c r="R48" s="42" t="s">
        <v>57</v>
      </c>
      <c r="S48" s="42">
        <v>36.0</v>
      </c>
      <c r="T48" s="42" t="s">
        <v>20</v>
      </c>
      <c r="U48" s="42"/>
    </row>
    <row r="49">
      <c r="N49" s="42" t="s">
        <v>58</v>
      </c>
      <c r="O49" s="42">
        <v>36.0</v>
      </c>
      <c r="P49" s="42" t="s">
        <v>18</v>
      </c>
      <c r="Q49" s="42"/>
      <c r="R49" s="42" t="s">
        <v>59</v>
      </c>
      <c r="S49" s="42">
        <v>6.0</v>
      </c>
      <c r="T49" s="42" t="s">
        <v>20</v>
      </c>
      <c r="U49" s="42"/>
    </row>
    <row r="50">
      <c r="N50" s="42" t="s">
        <v>60</v>
      </c>
      <c r="O50" s="42">
        <v>14.0</v>
      </c>
      <c r="P50" s="42" t="s">
        <v>18</v>
      </c>
      <c r="Q50" s="42"/>
      <c r="R50" s="42" t="s">
        <v>61</v>
      </c>
      <c r="S50" s="42">
        <v>3.0</v>
      </c>
      <c r="T50" s="42" t="s">
        <v>20</v>
      </c>
      <c r="U50" s="42"/>
    </row>
    <row r="51">
      <c r="N51" s="42" t="s">
        <v>62</v>
      </c>
      <c r="O51" s="42">
        <v>6.0</v>
      </c>
      <c r="P51" s="42" t="s">
        <v>18</v>
      </c>
      <c r="Q51" s="42"/>
      <c r="R51" s="42" t="s">
        <v>21</v>
      </c>
      <c r="S51" s="42">
        <v>0.0</v>
      </c>
      <c r="T51" s="42" t="s">
        <v>20</v>
      </c>
      <c r="U51" s="42"/>
    </row>
    <row r="52">
      <c r="N52" s="42" t="s">
        <v>63</v>
      </c>
      <c r="O52" s="42">
        <v>3.0</v>
      </c>
      <c r="P52" s="42" t="s">
        <v>18</v>
      </c>
      <c r="Q52" s="42"/>
      <c r="R52" s="42" t="s">
        <v>52</v>
      </c>
      <c r="S52" s="42">
        <v>2.0</v>
      </c>
      <c r="T52" s="42" t="s">
        <v>20</v>
      </c>
      <c r="U52" s="42"/>
    </row>
    <row r="53">
      <c r="N53" s="42" t="s">
        <v>64</v>
      </c>
      <c r="O53" s="42">
        <v>0.0</v>
      </c>
      <c r="P53" s="42" t="s">
        <v>18</v>
      </c>
      <c r="Q53" s="42"/>
      <c r="R53" s="42" t="s">
        <v>65</v>
      </c>
      <c r="S53" s="42">
        <v>7.0</v>
      </c>
      <c r="T53" s="42" t="s">
        <v>20</v>
      </c>
      <c r="U53" s="42"/>
    </row>
    <row r="54">
      <c r="N54" s="42" t="s">
        <v>66</v>
      </c>
      <c r="O54" s="42">
        <v>0.0</v>
      </c>
      <c r="P54" s="42" t="s">
        <v>18</v>
      </c>
      <c r="Q54" s="42"/>
      <c r="R54" s="42" t="s">
        <v>67</v>
      </c>
      <c r="S54" s="42">
        <v>0.0</v>
      </c>
      <c r="T54" s="42" t="s">
        <v>20</v>
      </c>
      <c r="U54" s="42"/>
    </row>
    <row r="55">
      <c r="N55" s="42" t="s">
        <v>68</v>
      </c>
      <c r="O55" s="42">
        <v>13.0</v>
      </c>
      <c r="P55" s="42" t="s">
        <v>18</v>
      </c>
      <c r="Q55" s="42"/>
      <c r="R55" s="42" t="s">
        <v>69</v>
      </c>
      <c r="S55" s="42">
        <v>0.0</v>
      </c>
      <c r="T55" s="42" t="s">
        <v>20</v>
      </c>
      <c r="U55" s="42"/>
    </row>
    <row r="56">
      <c r="N56" s="42" t="s">
        <v>70</v>
      </c>
      <c r="O56" s="42">
        <v>0.0</v>
      </c>
      <c r="P56" s="42" t="s">
        <v>18</v>
      </c>
      <c r="Q56" s="42"/>
      <c r="R56" s="42"/>
      <c r="S56" s="42" t="s">
        <v>71</v>
      </c>
      <c r="T56" s="42" t="s">
        <v>71</v>
      </c>
      <c r="U56" s="42"/>
    </row>
    <row r="57">
      <c r="N57" s="42" t="s">
        <v>72</v>
      </c>
      <c r="O57" s="42">
        <v>0.0</v>
      </c>
      <c r="P57" s="42" t="s">
        <v>18</v>
      </c>
      <c r="Q57" s="42"/>
      <c r="R57" s="42"/>
      <c r="S57" s="42" t="s">
        <v>71</v>
      </c>
      <c r="T57" s="42" t="s">
        <v>71</v>
      </c>
      <c r="U57" s="42"/>
    </row>
    <row r="58">
      <c r="N58" s="42" t="s">
        <v>73</v>
      </c>
      <c r="O58" s="42">
        <v>0.0</v>
      </c>
      <c r="P58" s="42" t="s">
        <v>18</v>
      </c>
      <c r="Q58" s="42"/>
      <c r="R58" s="42"/>
      <c r="S58" s="42" t="s">
        <v>71</v>
      </c>
      <c r="T58" s="42" t="s">
        <v>71</v>
      </c>
      <c r="U58" s="42"/>
    </row>
    <row r="59">
      <c r="N59" s="42" t="s">
        <v>30</v>
      </c>
      <c r="O59" s="42">
        <v>0.0</v>
      </c>
      <c r="P59" s="42" t="s">
        <v>18</v>
      </c>
      <c r="Q59" s="42"/>
      <c r="R59" s="42"/>
      <c r="S59" s="42" t="s">
        <v>71</v>
      </c>
      <c r="T59" s="42" t="s">
        <v>71</v>
      </c>
      <c r="U59" s="42"/>
    </row>
    <row r="60">
      <c r="N60" s="42"/>
      <c r="O60" s="42" t="s">
        <v>71</v>
      </c>
      <c r="P60" s="42" t="s">
        <v>71</v>
      </c>
      <c r="Q60" s="42"/>
      <c r="R60" s="42"/>
      <c r="S60" s="42" t="s">
        <v>71</v>
      </c>
      <c r="T60" s="42" t="s">
        <v>71</v>
      </c>
      <c r="U60" s="42"/>
    </row>
    <row r="61">
      <c r="N61" s="42"/>
      <c r="O61" s="42" t="s">
        <v>71</v>
      </c>
      <c r="P61" s="42" t="s">
        <v>71</v>
      </c>
      <c r="Q61" s="42"/>
      <c r="R61" s="42"/>
      <c r="S61" s="42" t="s">
        <v>71</v>
      </c>
      <c r="T61" s="42" t="s">
        <v>71</v>
      </c>
      <c r="U61" s="42"/>
    </row>
    <row r="62">
      <c r="N62" s="42"/>
      <c r="O62" s="42" t="s">
        <v>71</v>
      </c>
      <c r="P62" s="42" t="s">
        <v>71</v>
      </c>
      <c r="Q62" s="42"/>
      <c r="R62" s="42"/>
      <c r="S62" s="42" t="s">
        <v>71</v>
      </c>
      <c r="T62" s="42" t="s">
        <v>71</v>
      </c>
      <c r="U62" s="42"/>
    </row>
    <row r="63">
      <c r="N63" s="42"/>
      <c r="O63" s="42" t="s">
        <v>71</v>
      </c>
      <c r="P63" s="42" t="s">
        <v>71</v>
      </c>
      <c r="Q63" s="42"/>
      <c r="R63" s="42"/>
      <c r="S63" s="42" t="s">
        <v>71</v>
      </c>
      <c r="T63" s="42" t="s">
        <v>71</v>
      </c>
      <c r="U63" s="42"/>
    </row>
    <row r="64">
      <c r="N64" s="44" t="s">
        <v>74</v>
      </c>
      <c r="O64" s="42">
        <v>0.0</v>
      </c>
      <c r="P64" s="42" t="s">
        <v>18</v>
      </c>
      <c r="Q64" s="42"/>
      <c r="R64" s="42"/>
      <c r="S64" s="42" t="s">
        <v>71</v>
      </c>
      <c r="T64" s="42" t="s">
        <v>71</v>
      </c>
      <c r="U64" s="42"/>
    </row>
    <row r="65">
      <c r="N65" s="42"/>
      <c r="O65" s="42" t="s">
        <v>71</v>
      </c>
      <c r="P65" s="42" t="s">
        <v>71</v>
      </c>
      <c r="Q65" s="42"/>
      <c r="R65" s="42"/>
      <c r="S65" s="42" t="s">
        <v>71</v>
      </c>
      <c r="T65" s="42" t="s">
        <v>71</v>
      </c>
      <c r="U65" s="42"/>
    </row>
    <row r="66">
      <c r="O66" s="45" t="s">
        <v>71</v>
      </c>
      <c r="P66" s="45" t="s">
        <v>71</v>
      </c>
      <c r="S66" s="45" t="s">
        <v>71</v>
      </c>
      <c r="T66" s="45" t="s">
        <v>71</v>
      </c>
    </row>
    <row r="67">
      <c r="O67" s="45" t="s">
        <v>71</v>
      </c>
      <c r="P67" s="45" t="s">
        <v>71</v>
      </c>
      <c r="S67" s="45" t="s">
        <v>71</v>
      </c>
      <c r="T67" s="45" t="s">
        <v>71</v>
      </c>
    </row>
    <row r="68">
      <c r="O68" s="45" t="s">
        <v>71</v>
      </c>
      <c r="P68" s="45" t="s">
        <v>71</v>
      </c>
      <c r="S68" s="45" t="s">
        <v>71</v>
      </c>
      <c r="T68" s="45" t="s">
        <v>71</v>
      </c>
    </row>
    <row r="69">
      <c r="O69" s="45" t="s">
        <v>71</v>
      </c>
      <c r="P69" s="45" t="s">
        <v>71</v>
      </c>
      <c r="S69" s="45" t="s">
        <v>71</v>
      </c>
      <c r="T69" s="45" t="s">
        <v>71</v>
      </c>
    </row>
    <row r="70">
      <c r="O70" s="45" t="s">
        <v>71</v>
      </c>
      <c r="P70" s="45" t="s">
        <v>71</v>
      </c>
      <c r="S70" s="45" t="s">
        <v>71</v>
      </c>
      <c r="T70" s="45" t="s">
        <v>71</v>
      </c>
    </row>
    <row r="71">
      <c r="O71" s="45" t="s">
        <v>71</v>
      </c>
      <c r="P71" s="45" t="s">
        <v>71</v>
      </c>
      <c r="S71" s="45" t="s">
        <v>71</v>
      </c>
      <c r="T71" s="45" t="s">
        <v>71</v>
      </c>
    </row>
    <row r="72">
      <c r="O72" s="45" t="s">
        <v>71</v>
      </c>
      <c r="P72" s="45" t="s">
        <v>71</v>
      </c>
      <c r="S72" s="45" t="s">
        <v>71</v>
      </c>
      <c r="T72" s="45" t="s">
        <v>71</v>
      </c>
    </row>
    <row r="73">
      <c r="O73" s="45" t="s">
        <v>71</v>
      </c>
      <c r="P73" s="45" t="s">
        <v>71</v>
      </c>
      <c r="S73" s="45" t="s">
        <v>71</v>
      </c>
      <c r="T73" s="45" t="s">
        <v>71</v>
      </c>
    </row>
    <row r="74">
      <c r="O74" s="45" t="s">
        <v>71</v>
      </c>
      <c r="P74" s="45" t="s">
        <v>71</v>
      </c>
      <c r="S74" s="45" t="s">
        <v>71</v>
      </c>
      <c r="T74" s="45" t="s">
        <v>71</v>
      </c>
    </row>
    <row r="75">
      <c r="O75" s="45" t="s">
        <v>71</v>
      </c>
      <c r="P75" s="45" t="s">
        <v>71</v>
      </c>
      <c r="S75" s="45" t="s">
        <v>71</v>
      </c>
      <c r="T75" s="45" t="s">
        <v>71</v>
      </c>
    </row>
    <row r="76">
      <c r="O76" s="45" t="s">
        <v>71</v>
      </c>
      <c r="P76" s="45" t="s">
        <v>71</v>
      </c>
      <c r="S76" s="45" t="s">
        <v>71</v>
      </c>
      <c r="T76" s="45" t="s">
        <v>71</v>
      </c>
    </row>
    <row r="77">
      <c r="O77" s="45" t="s">
        <v>71</v>
      </c>
      <c r="P77" s="45" t="s">
        <v>71</v>
      </c>
      <c r="S77" s="45" t="s">
        <v>71</v>
      </c>
      <c r="T77" s="45" t="s">
        <v>71</v>
      </c>
    </row>
    <row r="78">
      <c r="O78" s="45" t="s">
        <v>71</v>
      </c>
      <c r="P78" s="45" t="s">
        <v>71</v>
      </c>
      <c r="S78" s="45" t="s">
        <v>71</v>
      </c>
      <c r="T78" s="45" t="s">
        <v>71</v>
      </c>
    </row>
    <row r="79">
      <c r="O79" s="45" t="s">
        <v>71</v>
      </c>
      <c r="P79" s="45" t="s">
        <v>71</v>
      </c>
      <c r="S79" s="45" t="s">
        <v>71</v>
      </c>
      <c r="T79" s="45" t="s">
        <v>71</v>
      </c>
    </row>
    <row r="80">
      <c r="O80" s="45" t="s">
        <v>71</v>
      </c>
      <c r="P80" s="45" t="s">
        <v>71</v>
      </c>
      <c r="S80" s="45" t="s">
        <v>71</v>
      </c>
      <c r="T80" s="45" t="s">
        <v>71</v>
      </c>
    </row>
    <row r="81">
      <c r="O81" s="45" t="s">
        <v>71</v>
      </c>
      <c r="P81" s="45" t="s">
        <v>71</v>
      </c>
      <c r="S81" s="45" t="s">
        <v>71</v>
      </c>
      <c r="T81" s="45" t="s">
        <v>71</v>
      </c>
    </row>
    <row r="82">
      <c r="O82" s="45" t="s">
        <v>71</v>
      </c>
      <c r="P82" s="45" t="s">
        <v>71</v>
      </c>
      <c r="S82" s="45" t="s">
        <v>71</v>
      </c>
      <c r="T82" s="45" t="s">
        <v>71</v>
      </c>
    </row>
    <row r="83">
      <c r="O83" s="45" t="s">
        <v>71</v>
      </c>
      <c r="P83" s="45" t="s">
        <v>71</v>
      </c>
      <c r="S83" s="45" t="s">
        <v>71</v>
      </c>
      <c r="T83" s="45" t="s">
        <v>71</v>
      </c>
    </row>
    <row r="84">
      <c r="O84" s="45" t="s">
        <v>71</v>
      </c>
      <c r="P84" s="45" t="s">
        <v>71</v>
      </c>
      <c r="S84" s="45" t="s">
        <v>71</v>
      </c>
      <c r="T84" s="45" t="s">
        <v>71</v>
      </c>
    </row>
    <row r="85">
      <c r="O85" s="45" t="s">
        <v>71</v>
      </c>
      <c r="P85" s="45" t="s">
        <v>71</v>
      </c>
      <c r="S85" s="45" t="s">
        <v>71</v>
      </c>
      <c r="T85" s="45" t="s">
        <v>71</v>
      </c>
    </row>
    <row r="86">
      <c r="O86" s="45" t="s">
        <v>71</v>
      </c>
      <c r="P86" s="45" t="s">
        <v>71</v>
      </c>
      <c r="S86" s="45" t="s">
        <v>71</v>
      </c>
      <c r="T86" s="45" t="s">
        <v>71</v>
      </c>
    </row>
    <row r="87">
      <c r="O87" s="45" t="s">
        <v>71</v>
      </c>
      <c r="P87" s="45" t="s">
        <v>71</v>
      </c>
      <c r="S87" s="45" t="s">
        <v>71</v>
      </c>
      <c r="T87" s="45" t="s">
        <v>71</v>
      </c>
    </row>
    <row r="88">
      <c r="O88" s="45" t="s">
        <v>71</v>
      </c>
      <c r="P88" s="45" t="s">
        <v>71</v>
      </c>
      <c r="S88" s="45" t="s">
        <v>71</v>
      </c>
      <c r="T88" s="45" t="s">
        <v>71</v>
      </c>
    </row>
    <row r="89">
      <c r="O89" s="45" t="s">
        <v>71</v>
      </c>
      <c r="P89" s="45" t="s">
        <v>71</v>
      </c>
      <c r="S89" s="45" t="s">
        <v>71</v>
      </c>
      <c r="T89" s="45" t="s">
        <v>71</v>
      </c>
    </row>
    <row r="90">
      <c r="O90" s="45" t="s">
        <v>71</v>
      </c>
      <c r="P90" s="45" t="s">
        <v>71</v>
      </c>
      <c r="S90" s="45" t="s">
        <v>71</v>
      </c>
      <c r="T90" s="45" t="s">
        <v>71</v>
      </c>
    </row>
    <row r="91">
      <c r="O91" s="45" t="s">
        <v>71</v>
      </c>
      <c r="P91" s="45" t="s">
        <v>71</v>
      </c>
      <c r="S91" s="45" t="s">
        <v>71</v>
      </c>
      <c r="T91" s="45" t="s">
        <v>71</v>
      </c>
    </row>
    <row r="92">
      <c r="O92" s="45" t="s">
        <v>71</v>
      </c>
      <c r="P92" s="45" t="s">
        <v>71</v>
      </c>
      <c r="S92" s="45" t="s">
        <v>71</v>
      </c>
      <c r="T92" s="45" t="s">
        <v>71</v>
      </c>
    </row>
    <row r="93">
      <c r="O93" s="45" t="s">
        <v>71</v>
      </c>
      <c r="P93" s="45" t="s">
        <v>71</v>
      </c>
      <c r="S93" s="45" t="s">
        <v>71</v>
      </c>
      <c r="T93" s="45" t="s">
        <v>71</v>
      </c>
    </row>
    <row r="94">
      <c r="O94" s="45" t="s">
        <v>71</v>
      </c>
      <c r="P94" s="45" t="s">
        <v>71</v>
      </c>
      <c r="S94" s="45" t="s">
        <v>71</v>
      </c>
      <c r="T94" s="45" t="s">
        <v>71</v>
      </c>
    </row>
    <row r="95">
      <c r="O95" s="45" t="s">
        <v>71</v>
      </c>
      <c r="P95" s="45" t="s">
        <v>71</v>
      </c>
      <c r="S95" s="45" t="s">
        <v>71</v>
      </c>
      <c r="T95" s="45" t="s">
        <v>71</v>
      </c>
    </row>
    <row r="96">
      <c r="O96" s="45" t="s">
        <v>71</v>
      </c>
      <c r="P96" s="45" t="s">
        <v>71</v>
      </c>
      <c r="S96" s="45" t="s">
        <v>71</v>
      </c>
      <c r="T96" s="45" t="s">
        <v>71</v>
      </c>
    </row>
    <row r="97">
      <c r="O97" s="45" t="s">
        <v>71</v>
      </c>
      <c r="P97" s="45" t="s">
        <v>71</v>
      </c>
      <c r="S97" s="45" t="s">
        <v>71</v>
      </c>
      <c r="T97" s="45" t="s">
        <v>71</v>
      </c>
    </row>
    <row r="98">
      <c r="O98" s="45" t="s">
        <v>71</v>
      </c>
      <c r="P98" s="45" t="s">
        <v>71</v>
      </c>
      <c r="S98" s="45" t="s">
        <v>71</v>
      </c>
      <c r="T98" s="45" t="s">
        <v>71</v>
      </c>
    </row>
    <row r="99">
      <c r="O99" s="45" t="s">
        <v>71</v>
      </c>
      <c r="P99" s="45" t="s">
        <v>71</v>
      </c>
      <c r="S99" s="45" t="s">
        <v>71</v>
      </c>
      <c r="T99" s="45" t="s">
        <v>71</v>
      </c>
    </row>
    <row r="100">
      <c r="O100" s="45" t="s">
        <v>71</v>
      </c>
      <c r="P100" s="45" t="s">
        <v>71</v>
      </c>
      <c r="S100" s="45" t="s">
        <v>71</v>
      </c>
      <c r="T100" s="45" t="s">
        <v>71</v>
      </c>
    </row>
    <row r="101">
      <c r="O101" s="45" t="s">
        <v>71</v>
      </c>
      <c r="P101" s="45" t="s">
        <v>71</v>
      </c>
      <c r="S101" s="45" t="s">
        <v>71</v>
      </c>
      <c r="T101" s="45" t="s">
        <v>71</v>
      </c>
    </row>
    <row r="102">
      <c r="O102" s="45" t="s">
        <v>71</v>
      </c>
      <c r="P102" s="45" t="s">
        <v>71</v>
      </c>
      <c r="S102" s="45" t="s">
        <v>71</v>
      </c>
      <c r="T102" s="45" t="s">
        <v>71</v>
      </c>
    </row>
    <row r="103">
      <c r="O103" s="45" t="s">
        <v>71</v>
      </c>
      <c r="P103" s="45" t="s">
        <v>71</v>
      </c>
      <c r="S103" s="45" t="s">
        <v>71</v>
      </c>
      <c r="T103" s="45" t="s">
        <v>71</v>
      </c>
    </row>
    <row r="104">
      <c r="O104" s="45" t="s">
        <v>71</v>
      </c>
      <c r="P104" s="45" t="s">
        <v>71</v>
      </c>
      <c r="S104" s="45" t="s">
        <v>71</v>
      </c>
      <c r="T104" s="45" t="s">
        <v>71</v>
      </c>
    </row>
    <row r="105">
      <c r="O105" s="45" t="s">
        <v>71</v>
      </c>
      <c r="P105" s="45" t="s">
        <v>71</v>
      </c>
      <c r="S105" s="45" t="s">
        <v>71</v>
      </c>
      <c r="T105" s="45" t="s">
        <v>71</v>
      </c>
    </row>
    <row r="106">
      <c r="O106" s="45" t="s">
        <v>71</v>
      </c>
      <c r="P106" s="45" t="s">
        <v>71</v>
      </c>
      <c r="S106" s="45" t="s">
        <v>71</v>
      </c>
      <c r="T106" s="45" t="s">
        <v>71</v>
      </c>
    </row>
    <row r="107">
      <c r="O107" s="45" t="s">
        <v>71</v>
      </c>
      <c r="P107" s="45" t="s">
        <v>71</v>
      </c>
      <c r="S107" s="45" t="s">
        <v>71</v>
      </c>
      <c r="T107" s="45" t="s">
        <v>71</v>
      </c>
    </row>
    <row r="108">
      <c r="O108" s="45" t="s">
        <v>71</v>
      </c>
      <c r="P108" s="45" t="s">
        <v>71</v>
      </c>
      <c r="S108" s="45" t="s">
        <v>71</v>
      </c>
      <c r="T108" s="45" t="s">
        <v>71</v>
      </c>
    </row>
    <row r="109">
      <c r="O109" s="45" t="s">
        <v>71</v>
      </c>
      <c r="P109" s="45" t="s">
        <v>71</v>
      </c>
      <c r="S109" s="45" t="s">
        <v>71</v>
      </c>
      <c r="T109" s="45" t="s">
        <v>71</v>
      </c>
    </row>
    <row r="110">
      <c r="O110" s="45" t="s">
        <v>71</v>
      </c>
      <c r="P110" s="45" t="s">
        <v>71</v>
      </c>
      <c r="S110" s="45" t="s">
        <v>71</v>
      </c>
      <c r="T110" s="45" t="s">
        <v>71</v>
      </c>
    </row>
    <row r="111">
      <c r="O111" s="45" t="s">
        <v>71</v>
      </c>
      <c r="P111" s="45" t="s">
        <v>71</v>
      </c>
      <c r="S111" s="45" t="s">
        <v>71</v>
      </c>
      <c r="T111" s="45" t="s">
        <v>71</v>
      </c>
    </row>
    <row r="112">
      <c r="O112" s="45" t="s">
        <v>71</v>
      </c>
      <c r="P112" s="45" t="s">
        <v>71</v>
      </c>
      <c r="S112" s="45" t="s">
        <v>71</v>
      </c>
      <c r="T112" s="45" t="s">
        <v>71</v>
      </c>
    </row>
    <row r="113">
      <c r="O113" s="45" t="s">
        <v>71</v>
      </c>
      <c r="P113" s="45" t="s">
        <v>71</v>
      </c>
      <c r="S113" s="45" t="s">
        <v>71</v>
      </c>
      <c r="T113" s="45" t="s">
        <v>71</v>
      </c>
    </row>
    <row r="114">
      <c r="O114" s="45" t="s">
        <v>71</v>
      </c>
      <c r="P114" s="45" t="s">
        <v>71</v>
      </c>
      <c r="S114" s="45" t="s">
        <v>71</v>
      </c>
      <c r="T114" s="45" t="s">
        <v>71</v>
      </c>
    </row>
    <row r="115">
      <c r="O115" s="45" t="s">
        <v>71</v>
      </c>
      <c r="P115" s="45" t="s">
        <v>71</v>
      </c>
      <c r="S115" s="45" t="s">
        <v>71</v>
      </c>
      <c r="T115" s="45" t="s">
        <v>71</v>
      </c>
    </row>
    <row r="116">
      <c r="O116" s="45" t="s">
        <v>71</v>
      </c>
      <c r="P116" s="45" t="s">
        <v>71</v>
      </c>
      <c r="S116" s="45" t="s">
        <v>71</v>
      </c>
      <c r="T116" s="45" t="s">
        <v>71</v>
      </c>
    </row>
    <row r="117">
      <c r="O117" s="45" t="s">
        <v>71</v>
      </c>
      <c r="P117" s="45" t="s">
        <v>71</v>
      </c>
      <c r="S117" s="45" t="s">
        <v>71</v>
      </c>
      <c r="T117" s="45" t="s">
        <v>71</v>
      </c>
    </row>
    <row r="118">
      <c r="O118" s="45" t="s">
        <v>71</v>
      </c>
      <c r="P118" s="45" t="s">
        <v>71</v>
      </c>
      <c r="S118" s="45" t="s">
        <v>71</v>
      </c>
      <c r="T118" s="45" t="s">
        <v>71</v>
      </c>
    </row>
    <row r="119">
      <c r="O119" s="45" t="s">
        <v>71</v>
      </c>
      <c r="P119" s="45" t="s">
        <v>71</v>
      </c>
      <c r="S119" s="45" t="s">
        <v>71</v>
      </c>
      <c r="T119" s="45" t="s">
        <v>71</v>
      </c>
    </row>
    <row r="120">
      <c r="O120" s="45" t="s">
        <v>71</v>
      </c>
      <c r="P120" s="45" t="s">
        <v>71</v>
      </c>
      <c r="S120" s="45" t="s">
        <v>71</v>
      </c>
      <c r="T120" s="45" t="s">
        <v>71</v>
      </c>
    </row>
  </sheetData>
  <mergeCells count="23">
    <mergeCell ref="A23:D23"/>
    <mergeCell ref="E23:H23"/>
    <mergeCell ref="A1:E11"/>
    <mergeCell ref="C19:D19"/>
    <mergeCell ref="A20:E20"/>
    <mergeCell ref="G1:I1"/>
    <mergeCell ref="A24:D41"/>
    <mergeCell ref="E24:H41"/>
    <mergeCell ref="A22:H22"/>
    <mergeCell ref="K2:L2"/>
    <mergeCell ref="K3:L3"/>
    <mergeCell ref="K4:L4"/>
    <mergeCell ref="K5:L5"/>
    <mergeCell ref="K1:N1"/>
    <mergeCell ref="P2:Q2"/>
    <mergeCell ref="P1:S1"/>
    <mergeCell ref="K6:L6"/>
    <mergeCell ref="K7:L7"/>
    <mergeCell ref="K8:L8"/>
    <mergeCell ref="K9:L9"/>
    <mergeCell ref="K10:L10"/>
    <mergeCell ref="K11:L11"/>
    <mergeCell ref="K12:L12"/>
  </mergeCells>
  <conditionalFormatting sqref="C19:D19">
    <cfRule type="colorScale" priority="1">
      <colorScale>
        <cfvo type="min"/>
        <cfvo type="max"/>
        <color rgb="FFFFFFFF"/>
        <color rgb="FF57BB8A"/>
      </colorScale>
    </cfRule>
  </conditionalFormatting>
  <conditionalFormatting sqref="C19:D19">
    <cfRule type="cellIs" dxfId="0" priority="2" operator="equal">
      <formula>"VIUDAS DE GALLARDO"</formula>
    </cfRule>
  </conditionalFormatting>
  <conditionalFormatting sqref="C19:D19">
    <cfRule type="cellIs" dxfId="1" priority="3" operator="equal">
      <formula>"SOLDADO DE COUDET"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1">
      <c r="A1" s="46" t="s">
        <v>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>
      <c r="A2" s="47" t="s">
        <v>76</v>
      </c>
      <c r="B2" s="4"/>
      <c r="C2" s="48" t="s">
        <v>18</v>
      </c>
      <c r="D2" s="4"/>
      <c r="E2" s="4"/>
      <c r="F2" s="4"/>
      <c r="G2" s="4"/>
      <c r="H2" s="5"/>
      <c r="I2" s="49" t="s">
        <v>77</v>
      </c>
      <c r="J2" s="4"/>
      <c r="K2" s="5"/>
      <c r="L2" s="47" t="s">
        <v>78</v>
      </c>
      <c r="M2" s="4"/>
      <c r="N2" s="48" t="s">
        <v>20</v>
      </c>
      <c r="O2" s="4"/>
      <c r="P2" s="4"/>
      <c r="Q2" s="4"/>
      <c r="R2" s="4"/>
      <c r="S2" s="5"/>
    </row>
    <row r="3">
      <c r="A3" s="50" t="s">
        <v>79</v>
      </c>
      <c r="B3" s="51" t="s">
        <v>80</v>
      </c>
      <c r="C3" s="52" t="s">
        <v>81</v>
      </c>
      <c r="D3" s="53" t="s">
        <v>82</v>
      </c>
      <c r="E3" s="54" t="s">
        <v>83</v>
      </c>
      <c r="F3" s="55" t="s">
        <v>84</v>
      </c>
      <c r="G3" s="50" t="s">
        <v>85</v>
      </c>
      <c r="H3" s="17" t="s">
        <v>86</v>
      </c>
      <c r="I3" s="56" t="s">
        <v>87</v>
      </c>
      <c r="J3" s="5"/>
      <c r="K3" s="57" t="s">
        <v>88</v>
      </c>
      <c r="L3" s="50" t="s">
        <v>79</v>
      </c>
      <c r="M3" s="51" t="s">
        <v>80</v>
      </c>
      <c r="N3" s="52" t="s">
        <v>89</v>
      </c>
      <c r="O3" s="53" t="s">
        <v>82</v>
      </c>
      <c r="P3" s="54" t="s">
        <v>83</v>
      </c>
      <c r="Q3" s="55" t="s">
        <v>84</v>
      </c>
      <c r="R3" s="50" t="s">
        <v>85</v>
      </c>
      <c r="S3" s="17" t="s">
        <v>86</v>
      </c>
    </row>
    <row r="4">
      <c r="A4" s="58" t="s">
        <v>90</v>
      </c>
      <c r="B4" s="59">
        <v>4.0</v>
      </c>
      <c r="C4" s="60">
        <v>0.0</v>
      </c>
      <c r="D4" s="61">
        <v>29.0</v>
      </c>
      <c r="E4" s="62">
        <f t="shared" ref="E4:E18" si="1">IFERROR(B4/D4, 0)</f>
        <v>0.1379310345</v>
      </c>
      <c r="F4" s="63">
        <v>0.0</v>
      </c>
      <c r="G4" s="64">
        <v>0.0</v>
      </c>
      <c r="H4" s="60">
        <f>(B4)+(C4*3)-G4-(F4*2)</f>
        <v>4</v>
      </c>
      <c r="I4" s="56" t="s">
        <v>91</v>
      </c>
      <c r="J4" s="5"/>
      <c r="K4" s="57" t="s">
        <v>92</v>
      </c>
      <c r="L4" s="58" t="s">
        <v>93</v>
      </c>
      <c r="M4" s="59">
        <v>0.0</v>
      </c>
      <c r="N4" s="60">
        <v>0.0</v>
      </c>
      <c r="O4" s="61">
        <v>28.0</v>
      </c>
      <c r="P4" s="62">
        <f t="shared" ref="P4:P40" si="2">IFERROR(M4/O4, 0)</f>
        <v>0</v>
      </c>
      <c r="Q4" s="63">
        <v>0.0</v>
      </c>
      <c r="R4" s="64">
        <v>0.0</v>
      </c>
      <c r="S4" s="60">
        <f t="shared" ref="S4:S40" si="3">(M4*1)+(N4*3)-(Q4*2)-R4</f>
        <v>0</v>
      </c>
    </row>
    <row r="5">
      <c r="A5" s="58" t="s">
        <v>17</v>
      </c>
      <c r="B5" s="59">
        <v>0.0</v>
      </c>
      <c r="C5" s="60">
        <v>0.0</v>
      </c>
      <c r="D5" s="61">
        <v>0.0</v>
      </c>
      <c r="E5" s="62">
        <f t="shared" si="1"/>
        <v>0</v>
      </c>
      <c r="F5" s="63">
        <v>0.0</v>
      </c>
      <c r="G5" s="64">
        <v>0.0</v>
      </c>
      <c r="H5" s="60">
        <f t="shared" ref="H5:H40" si="4">(B5*1)+(C5*3)-(F5*2)-G5</f>
        <v>0</v>
      </c>
      <c r="I5" s="56" t="s">
        <v>94</v>
      </c>
      <c r="J5" s="5"/>
      <c r="K5" s="57" t="s">
        <v>95</v>
      </c>
      <c r="L5" s="58" t="s">
        <v>19</v>
      </c>
      <c r="M5" s="59">
        <v>0.0</v>
      </c>
      <c r="N5" s="60">
        <v>0.0</v>
      </c>
      <c r="O5" s="61">
        <v>18.0</v>
      </c>
      <c r="P5" s="62">
        <f t="shared" si="2"/>
        <v>0</v>
      </c>
      <c r="Q5" s="63">
        <v>1.0</v>
      </c>
      <c r="R5" s="64">
        <v>0.0</v>
      </c>
      <c r="S5" s="60">
        <f t="shared" si="3"/>
        <v>-2</v>
      </c>
    </row>
    <row r="6">
      <c r="A6" s="58" t="s">
        <v>21</v>
      </c>
      <c r="B6" s="59">
        <v>0.0</v>
      </c>
      <c r="C6" s="60">
        <v>0.0</v>
      </c>
      <c r="D6" s="61">
        <v>29.0</v>
      </c>
      <c r="E6" s="62">
        <f t="shared" si="1"/>
        <v>0</v>
      </c>
      <c r="F6" s="63">
        <v>1.0</v>
      </c>
      <c r="G6" s="64">
        <v>0.0</v>
      </c>
      <c r="H6" s="60">
        <f t="shared" si="4"/>
        <v>-2</v>
      </c>
      <c r="I6" s="56" t="s">
        <v>96</v>
      </c>
      <c r="J6" s="5"/>
      <c r="K6" s="57" t="s">
        <v>97</v>
      </c>
      <c r="L6" s="58" t="s">
        <v>22</v>
      </c>
      <c r="M6" s="59">
        <v>0.0</v>
      </c>
      <c r="N6" s="60">
        <v>0.0</v>
      </c>
      <c r="O6" s="61">
        <v>22.0</v>
      </c>
      <c r="P6" s="62">
        <f t="shared" si="2"/>
        <v>0</v>
      </c>
      <c r="Q6" s="63">
        <v>2.0</v>
      </c>
      <c r="R6" s="64">
        <v>0.0</v>
      </c>
      <c r="S6" s="60">
        <f t="shared" si="3"/>
        <v>-4</v>
      </c>
    </row>
    <row r="7">
      <c r="A7" s="58" t="s">
        <v>23</v>
      </c>
      <c r="B7" s="59">
        <v>0.0</v>
      </c>
      <c r="C7" s="60">
        <v>0.0</v>
      </c>
      <c r="D7" s="61">
        <v>25.0</v>
      </c>
      <c r="E7" s="62">
        <f t="shared" si="1"/>
        <v>0</v>
      </c>
      <c r="F7" s="63">
        <v>1.0</v>
      </c>
      <c r="G7" s="64">
        <v>0.0</v>
      </c>
      <c r="H7" s="60">
        <f t="shared" si="4"/>
        <v>-2</v>
      </c>
      <c r="L7" s="58" t="s">
        <v>24</v>
      </c>
      <c r="M7" s="59">
        <v>0.0</v>
      </c>
      <c r="N7" s="60">
        <v>0.0</v>
      </c>
      <c r="O7" s="61">
        <v>20.0</v>
      </c>
      <c r="P7" s="62">
        <f t="shared" si="2"/>
        <v>0</v>
      </c>
      <c r="Q7" s="63">
        <v>0.0</v>
      </c>
      <c r="R7" s="64">
        <v>0.0</v>
      </c>
      <c r="S7" s="60">
        <f t="shared" si="3"/>
        <v>0</v>
      </c>
    </row>
    <row r="8">
      <c r="A8" s="58" t="s">
        <v>25</v>
      </c>
      <c r="B8" s="59">
        <v>0.0</v>
      </c>
      <c r="C8" s="60">
        <v>0.0</v>
      </c>
      <c r="D8" s="61">
        <v>4.0</v>
      </c>
      <c r="E8" s="62">
        <f t="shared" si="1"/>
        <v>0</v>
      </c>
      <c r="F8" s="63">
        <v>0.0</v>
      </c>
      <c r="G8" s="64">
        <v>0.0</v>
      </c>
      <c r="H8" s="60">
        <f t="shared" si="4"/>
        <v>0</v>
      </c>
      <c r="I8" s="36" t="s">
        <v>98</v>
      </c>
      <c r="J8" s="4"/>
      <c r="K8" s="5"/>
      <c r="L8" s="58" t="s">
        <v>26</v>
      </c>
      <c r="M8" s="59">
        <v>0.0</v>
      </c>
      <c r="N8" s="60">
        <v>0.0</v>
      </c>
      <c r="O8" s="61">
        <v>17.0</v>
      </c>
      <c r="P8" s="62">
        <f t="shared" si="2"/>
        <v>0</v>
      </c>
      <c r="Q8" s="63">
        <v>0.0</v>
      </c>
      <c r="R8" s="64">
        <v>0.0</v>
      </c>
      <c r="S8" s="60">
        <f t="shared" si="3"/>
        <v>0</v>
      </c>
    </row>
    <row r="9">
      <c r="A9" s="58" t="s">
        <v>27</v>
      </c>
      <c r="B9" s="59">
        <v>0.0</v>
      </c>
      <c r="C9" s="60">
        <v>0.0</v>
      </c>
      <c r="D9" s="61">
        <v>8.0</v>
      </c>
      <c r="E9" s="62">
        <f t="shared" si="1"/>
        <v>0</v>
      </c>
      <c r="F9" s="63">
        <v>0.0</v>
      </c>
      <c r="G9" s="64">
        <v>0.0</v>
      </c>
      <c r="H9" s="60">
        <f t="shared" si="4"/>
        <v>0</v>
      </c>
      <c r="I9" s="50" t="s">
        <v>99</v>
      </c>
      <c r="J9" s="50" t="s">
        <v>100</v>
      </c>
      <c r="K9" s="50" t="s">
        <v>3</v>
      </c>
      <c r="L9" s="58" t="s">
        <v>28</v>
      </c>
      <c r="M9" s="59">
        <v>0.0</v>
      </c>
      <c r="N9" s="60">
        <v>0.0</v>
      </c>
      <c r="O9" s="61">
        <v>3.0</v>
      </c>
      <c r="P9" s="62">
        <f t="shared" si="2"/>
        <v>0</v>
      </c>
      <c r="Q9" s="63">
        <v>0.0</v>
      </c>
      <c r="R9" s="64">
        <v>0.0</v>
      </c>
      <c r="S9" s="60">
        <f t="shared" si="3"/>
        <v>0</v>
      </c>
    </row>
    <row r="10">
      <c r="A10" s="58" t="s">
        <v>29</v>
      </c>
      <c r="B10" s="59">
        <v>2.0</v>
      </c>
      <c r="C10" s="60">
        <v>0.0</v>
      </c>
      <c r="D10" s="61">
        <v>25.0</v>
      </c>
      <c r="E10" s="62">
        <f t="shared" si="1"/>
        <v>0.08</v>
      </c>
      <c r="F10" s="63">
        <v>0.0</v>
      </c>
      <c r="G10" s="64">
        <v>0.0</v>
      </c>
      <c r="H10" s="60">
        <f t="shared" si="4"/>
        <v>2</v>
      </c>
      <c r="I10" s="53" t="str">
        <f>IFERROR(__xludf.DUMMYFUNCTION("IFERROR(SORTN(FILTER({A4:A40, H4:H40, IF(A4:A40="""", """", C2); L4:L40, S4:S40, IF(L4:L40="""", """", N2)}, {H4:H40; S4:S40} &gt; 0), 10, 0, 2, FALSE), """")"),"Luis Diaz")</f>
        <v>Luis Diaz</v>
      </c>
      <c r="J10" s="53">
        <f>IFERROR(__xludf.DUMMYFUNCTION("""COMPUTED_VALUE"""),37.0)</f>
        <v>37</v>
      </c>
      <c r="K10" s="65" t="str">
        <f>IFERROR(__xludf.DUMMYFUNCTION("""COMPUTED_VALUE"""),"(SDC)")</f>
        <v>(SDC)</v>
      </c>
      <c r="L10" s="58" t="s">
        <v>30</v>
      </c>
      <c r="M10" s="59">
        <v>0.0</v>
      </c>
      <c r="N10" s="60">
        <v>0.0</v>
      </c>
      <c r="O10" s="61">
        <v>16.0</v>
      </c>
      <c r="P10" s="62">
        <f t="shared" si="2"/>
        <v>0</v>
      </c>
      <c r="Q10" s="63">
        <v>0.0</v>
      </c>
      <c r="R10" s="64">
        <v>0.0</v>
      </c>
      <c r="S10" s="60">
        <f t="shared" si="3"/>
        <v>0</v>
      </c>
    </row>
    <row r="11">
      <c r="A11" s="58" t="s">
        <v>31</v>
      </c>
      <c r="B11" s="59">
        <v>1.0</v>
      </c>
      <c r="C11" s="60">
        <v>0.0</v>
      </c>
      <c r="D11" s="61">
        <v>26.0</v>
      </c>
      <c r="E11" s="62">
        <f t="shared" si="1"/>
        <v>0.03846153846</v>
      </c>
      <c r="F11" s="63">
        <v>0.0</v>
      </c>
      <c r="G11" s="64">
        <v>0.0</v>
      </c>
      <c r="H11" s="60">
        <f t="shared" si="4"/>
        <v>1</v>
      </c>
      <c r="I11" s="53" t="str">
        <f>IFERROR(__xludf.DUMMYFUNCTION("""COMPUTED_VALUE"""),"Van Basten")</f>
        <v>Van Basten</v>
      </c>
      <c r="J11" s="53">
        <f>IFERROR(__xludf.DUMMYFUNCTION("""COMPUTED_VALUE"""),36.0)</f>
        <v>36</v>
      </c>
      <c r="K11" s="65" t="str">
        <f>IFERROR(__xludf.DUMMYFUNCTION("""COMPUTED_VALUE""")," (VDG)")</f>
        <v> (VDG)</v>
      </c>
      <c r="L11" s="58" t="s">
        <v>32</v>
      </c>
      <c r="M11" s="59">
        <v>0.0</v>
      </c>
      <c r="N11" s="60">
        <v>0.0</v>
      </c>
      <c r="O11" s="61">
        <v>18.0</v>
      </c>
      <c r="P11" s="62">
        <f t="shared" si="2"/>
        <v>0</v>
      </c>
      <c r="Q11" s="63">
        <v>0.0</v>
      </c>
      <c r="R11" s="64">
        <v>0.0</v>
      </c>
      <c r="S11" s="60">
        <f t="shared" si="3"/>
        <v>0</v>
      </c>
    </row>
    <row r="12">
      <c r="A12" s="58" t="s">
        <v>33</v>
      </c>
      <c r="B12" s="59">
        <v>0.0</v>
      </c>
      <c r="C12" s="60">
        <v>0.0</v>
      </c>
      <c r="D12" s="61">
        <v>29.0</v>
      </c>
      <c r="E12" s="62">
        <f t="shared" si="1"/>
        <v>0</v>
      </c>
      <c r="F12" s="63">
        <v>0.0</v>
      </c>
      <c r="G12" s="64">
        <v>0.0</v>
      </c>
      <c r="H12" s="60">
        <f t="shared" si="4"/>
        <v>0</v>
      </c>
      <c r="I12" s="53" t="str">
        <f>IFERROR(__xludf.DUMMYFUNCTION("""COMPUTED_VALUE"""),"Havertz")</f>
        <v>Havertz</v>
      </c>
      <c r="J12" s="53">
        <f>IFERROR(__xludf.DUMMYFUNCTION("""COMPUTED_VALUE"""),32.0)</f>
        <v>32</v>
      </c>
      <c r="K12" s="65" t="str">
        <f>IFERROR(__xludf.DUMMYFUNCTION("""COMPUTED_VALUE"""),"(SDC)")</f>
        <v>(SDC)</v>
      </c>
      <c r="L12" s="58" t="s">
        <v>34</v>
      </c>
      <c r="M12" s="59">
        <v>2.0</v>
      </c>
      <c r="N12" s="60">
        <v>0.0</v>
      </c>
      <c r="O12" s="61">
        <v>26.0</v>
      </c>
      <c r="P12" s="62">
        <f t="shared" si="2"/>
        <v>0.07692307692</v>
      </c>
      <c r="Q12" s="63">
        <v>0.0</v>
      </c>
      <c r="R12" s="64">
        <v>0.0</v>
      </c>
      <c r="S12" s="60">
        <f t="shared" si="3"/>
        <v>2</v>
      </c>
    </row>
    <row r="13">
      <c r="A13" s="58" t="s">
        <v>35</v>
      </c>
      <c r="B13" s="59">
        <v>1.0</v>
      </c>
      <c r="C13" s="60">
        <v>0.0</v>
      </c>
      <c r="D13" s="61">
        <v>11.0</v>
      </c>
      <c r="E13" s="62">
        <f t="shared" si="1"/>
        <v>0.09090909091</v>
      </c>
      <c r="F13" s="63">
        <v>0.0</v>
      </c>
      <c r="G13" s="64">
        <v>0.0</v>
      </c>
      <c r="H13" s="60">
        <f t="shared" si="4"/>
        <v>1</v>
      </c>
      <c r="I13" s="53" t="str">
        <f>IFERROR(__xludf.DUMMYFUNCTION("""COMPUTED_VALUE"""),"Shevchenko")</f>
        <v>Shevchenko</v>
      </c>
      <c r="J13" s="53">
        <f>IFERROR(__xludf.DUMMYFUNCTION("""COMPUTED_VALUE"""),14.0)</f>
        <v>14</v>
      </c>
      <c r="K13" s="65" t="str">
        <f>IFERROR(__xludf.DUMMYFUNCTION("""COMPUTED_VALUE""")," (VDG)")</f>
        <v> (VDG)</v>
      </c>
      <c r="L13" s="58" t="s">
        <v>36</v>
      </c>
      <c r="M13" s="59">
        <v>1.0</v>
      </c>
      <c r="N13" s="60">
        <v>0.0</v>
      </c>
      <c r="O13" s="61">
        <v>15.0</v>
      </c>
      <c r="P13" s="62">
        <f t="shared" si="2"/>
        <v>0.06666666667</v>
      </c>
      <c r="Q13" s="63">
        <v>0.0</v>
      </c>
      <c r="R13" s="64">
        <v>0.0</v>
      </c>
      <c r="S13" s="60">
        <f t="shared" si="3"/>
        <v>1</v>
      </c>
    </row>
    <row r="14">
      <c r="A14" s="58" t="s">
        <v>37</v>
      </c>
      <c r="B14" s="59">
        <v>3.0</v>
      </c>
      <c r="C14" s="60">
        <v>0.0</v>
      </c>
      <c r="D14" s="61">
        <v>10.0</v>
      </c>
      <c r="E14" s="62">
        <f t="shared" si="1"/>
        <v>0.3</v>
      </c>
      <c r="F14" s="63">
        <v>0.0</v>
      </c>
      <c r="G14" s="64">
        <v>0.0</v>
      </c>
      <c r="H14" s="60">
        <f t="shared" si="4"/>
        <v>3</v>
      </c>
      <c r="I14" s="53" t="str">
        <f>IFERROR(__xludf.DUMMYFUNCTION("""COMPUTED_VALUE"""),"Van Nistelrooij")</f>
        <v>Van Nistelrooij</v>
      </c>
      <c r="J14" s="53">
        <f>IFERROR(__xludf.DUMMYFUNCTION("""COMPUTED_VALUE"""),13.0)</f>
        <v>13</v>
      </c>
      <c r="K14" s="65" t="str">
        <f>IFERROR(__xludf.DUMMYFUNCTION("""COMPUTED_VALUE""")," (VDG)")</f>
        <v> (VDG)</v>
      </c>
      <c r="L14" s="58" t="s">
        <v>38</v>
      </c>
      <c r="M14" s="59">
        <v>0.0</v>
      </c>
      <c r="N14" s="60">
        <v>0.0</v>
      </c>
      <c r="O14" s="61">
        <v>24.0</v>
      </c>
      <c r="P14" s="62">
        <f t="shared" si="2"/>
        <v>0</v>
      </c>
      <c r="Q14" s="63">
        <v>0.0</v>
      </c>
      <c r="R14" s="64">
        <v>0.0</v>
      </c>
      <c r="S14" s="60">
        <f t="shared" si="3"/>
        <v>0</v>
      </c>
    </row>
    <row r="15">
      <c r="A15" s="58" t="s">
        <v>39</v>
      </c>
      <c r="B15" s="59">
        <v>0.0</v>
      </c>
      <c r="C15" s="60">
        <v>0.0</v>
      </c>
      <c r="D15" s="61">
        <v>15.0</v>
      </c>
      <c r="E15" s="62">
        <f t="shared" si="1"/>
        <v>0</v>
      </c>
      <c r="F15" s="63">
        <v>1.0</v>
      </c>
      <c r="G15" s="64">
        <v>0.0</v>
      </c>
      <c r="H15" s="60">
        <f t="shared" si="4"/>
        <v>-2</v>
      </c>
      <c r="I15" s="53" t="str">
        <f>IFERROR(__xludf.DUMMYFUNCTION("""COMPUTED_VALUE"""),"Mbappe")</f>
        <v>Mbappe</v>
      </c>
      <c r="J15" s="53">
        <f>IFERROR(__xludf.DUMMYFUNCTION("""COMPUTED_VALUE"""),10.0)</f>
        <v>10</v>
      </c>
      <c r="K15" s="65" t="str">
        <f>IFERROR(__xludf.DUMMYFUNCTION("""COMPUTED_VALUE""")," (VDG)")</f>
        <v> (VDG)</v>
      </c>
      <c r="L15" s="58" t="s">
        <v>40</v>
      </c>
      <c r="M15" s="59">
        <v>0.0</v>
      </c>
      <c r="N15" s="60">
        <v>0.0</v>
      </c>
      <c r="O15" s="61">
        <v>8.0</v>
      </c>
      <c r="P15" s="62">
        <f t="shared" si="2"/>
        <v>0</v>
      </c>
      <c r="Q15" s="63">
        <v>0.0</v>
      </c>
      <c r="R15" s="64">
        <v>0.0</v>
      </c>
      <c r="S15" s="60">
        <f t="shared" si="3"/>
        <v>0</v>
      </c>
    </row>
    <row r="16">
      <c r="A16" s="58" t="s">
        <v>41</v>
      </c>
      <c r="B16" s="59">
        <v>2.0</v>
      </c>
      <c r="C16" s="60">
        <v>0.0</v>
      </c>
      <c r="D16" s="61">
        <v>14.0</v>
      </c>
      <c r="E16" s="62">
        <f t="shared" si="1"/>
        <v>0.1428571429</v>
      </c>
      <c r="F16" s="63">
        <v>0.0</v>
      </c>
      <c r="G16" s="64">
        <v>0.0</v>
      </c>
      <c r="H16" s="60">
        <f t="shared" si="4"/>
        <v>2</v>
      </c>
      <c r="I16" s="53" t="str">
        <f>IFERROR(__xludf.DUMMYFUNCTION("""COMPUTED_VALUE"""),"Dani Olmo")</f>
        <v>Dani Olmo</v>
      </c>
      <c r="J16" s="53">
        <f>IFERROR(__xludf.DUMMYFUNCTION("""COMPUTED_VALUE"""),10.0)</f>
        <v>10</v>
      </c>
      <c r="K16" s="65" t="str">
        <f>IFERROR(__xludf.DUMMYFUNCTION("""COMPUTED_VALUE"""),"(SDC)")</f>
        <v>(SDC)</v>
      </c>
      <c r="L16" s="58" t="s">
        <v>39</v>
      </c>
      <c r="M16" s="59">
        <v>4.0</v>
      </c>
      <c r="N16" s="60">
        <v>0.0</v>
      </c>
      <c r="O16" s="61">
        <v>14.0</v>
      </c>
      <c r="P16" s="62">
        <f t="shared" si="2"/>
        <v>0.2857142857</v>
      </c>
      <c r="Q16" s="63">
        <v>0.0</v>
      </c>
      <c r="R16" s="64">
        <v>0.0</v>
      </c>
      <c r="S16" s="60">
        <f t="shared" si="3"/>
        <v>4</v>
      </c>
    </row>
    <row r="17">
      <c r="A17" s="58" t="s">
        <v>42</v>
      </c>
      <c r="B17" s="59">
        <v>0.0</v>
      </c>
      <c r="C17" s="60">
        <v>0.0</v>
      </c>
      <c r="D17" s="61">
        <v>16.0</v>
      </c>
      <c r="E17" s="62">
        <f t="shared" si="1"/>
        <v>0</v>
      </c>
      <c r="F17" s="63">
        <v>0.0</v>
      </c>
      <c r="G17" s="64">
        <v>0.0</v>
      </c>
      <c r="H17" s="60">
        <f t="shared" si="4"/>
        <v>0</v>
      </c>
      <c r="I17" s="53" t="str">
        <f>IFERROR(__xludf.DUMMYFUNCTION("""COMPUTED_VALUE"""),"Van Nistelrooy")</f>
        <v>Van Nistelrooy</v>
      </c>
      <c r="J17" s="53">
        <f>IFERROR(__xludf.DUMMYFUNCTION("""COMPUTED_VALUE"""),7.0)</f>
        <v>7</v>
      </c>
      <c r="K17" s="65" t="str">
        <f>IFERROR(__xludf.DUMMYFUNCTION("""COMPUTED_VALUE"""),"(SDC)")</f>
        <v>(SDC)</v>
      </c>
      <c r="L17" s="58" t="s">
        <v>37</v>
      </c>
      <c r="M17" s="59">
        <v>4.0</v>
      </c>
      <c r="N17" s="60">
        <v>0.0</v>
      </c>
      <c r="O17" s="61">
        <v>20.0</v>
      </c>
      <c r="P17" s="62">
        <f t="shared" si="2"/>
        <v>0.2</v>
      </c>
      <c r="Q17" s="63">
        <v>0.0</v>
      </c>
      <c r="R17" s="64">
        <v>0.0</v>
      </c>
      <c r="S17" s="60">
        <f t="shared" si="3"/>
        <v>4</v>
      </c>
    </row>
    <row r="18">
      <c r="A18" s="58" t="s">
        <v>43</v>
      </c>
      <c r="B18" s="59">
        <v>2.0</v>
      </c>
      <c r="C18" s="60">
        <v>0.0</v>
      </c>
      <c r="D18" s="61">
        <v>14.0</v>
      </c>
      <c r="E18" s="62">
        <f t="shared" si="1"/>
        <v>0.1428571429</v>
      </c>
      <c r="F18" s="63">
        <v>0.0</v>
      </c>
      <c r="G18" s="64">
        <v>0.0</v>
      </c>
      <c r="H18" s="60">
        <f t="shared" si="4"/>
        <v>2</v>
      </c>
      <c r="I18" s="53" t="str">
        <f>IFERROR(__xludf.DUMMYFUNCTION("""COMPUTED_VALUE"""),"Vieri")</f>
        <v>Vieri</v>
      </c>
      <c r="J18" s="53">
        <f>IFERROR(__xludf.DUMMYFUNCTION("""COMPUTED_VALUE"""),7.0)</f>
        <v>7</v>
      </c>
      <c r="K18" s="65" t="str">
        <f>IFERROR(__xludf.DUMMYFUNCTION("""COMPUTED_VALUE"""),"(SDC)")</f>
        <v>(SDC)</v>
      </c>
      <c r="L18" s="58" t="s">
        <v>44</v>
      </c>
      <c r="M18" s="59">
        <v>3.0</v>
      </c>
      <c r="N18" s="60">
        <v>0.0</v>
      </c>
      <c r="O18" s="61">
        <v>17.0</v>
      </c>
      <c r="P18" s="62">
        <f t="shared" si="2"/>
        <v>0.1764705882</v>
      </c>
      <c r="Q18" s="63">
        <v>1.0</v>
      </c>
      <c r="R18" s="64">
        <v>0.0</v>
      </c>
      <c r="S18" s="60">
        <f t="shared" si="3"/>
        <v>1</v>
      </c>
    </row>
    <row r="19">
      <c r="A19" s="58" t="s">
        <v>45</v>
      </c>
      <c r="B19" s="59">
        <v>1.0</v>
      </c>
      <c r="C19" s="60">
        <v>0.0</v>
      </c>
      <c r="D19" s="61">
        <v>6.0</v>
      </c>
      <c r="E19" s="66">
        <f>B19/D19</f>
        <v>0.1666666667</v>
      </c>
      <c r="F19" s="63">
        <v>0.0</v>
      </c>
      <c r="G19" s="64">
        <v>0.0</v>
      </c>
      <c r="H19" s="60">
        <f t="shared" si="4"/>
        <v>1</v>
      </c>
      <c r="I19" s="53" t="str">
        <f>IFERROR(__xludf.DUMMYFUNCTION("""COMPUTED_VALUE"""),"Dembele")</f>
        <v>Dembele</v>
      </c>
      <c r="J19" s="53">
        <f>IFERROR(__xludf.DUMMYFUNCTION("""COMPUTED_VALUE"""),6.0)</f>
        <v>6</v>
      </c>
      <c r="K19" s="65" t="str">
        <f>IFERROR(__xludf.DUMMYFUNCTION("""COMPUTED_VALUE""")," (VDG)")</f>
        <v> (VDG)</v>
      </c>
      <c r="L19" s="58" t="s">
        <v>46</v>
      </c>
      <c r="M19" s="59">
        <v>10.0</v>
      </c>
      <c r="N19" s="60">
        <v>0.0</v>
      </c>
      <c r="O19" s="61">
        <v>24.0</v>
      </c>
      <c r="P19" s="62">
        <f t="shared" si="2"/>
        <v>0.4166666667</v>
      </c>
      <c r="Q19" s="63">
        <v>0.0</v>
      </c>
      <c r="R19" s="64">
        <v>0.0</v>
      </c>
      <c r="S19" s="60">
        <f t="shared" si="3"/>
        <v>10</v>
      </c>
    </row>
    <row r="20">
      <c r="A20" s="58" t="s">
        <v>47</v>
      </c>
      <c r="B20" s="59">
        <v>3.0</v>
      </c>
      <c r="C20" s="60">
        <v>0.0</v>
      </c>
      <c r="D20" s="61">
        <v>10.0</v>
      </c>
      <c r="E20" s="62">
        <f t="shared" ref="E20:E23" si="5">IFERROR(B20/D20, 0)</f>
        <v>0.3</v>
      </c>
      <c r="F20" s="63">
        <v>0.0</v>
      </c>
      <c r="G20" s="64">
        <v>0.0</v>
      </c>
      <c r="H20" s="60">
        <f t="shared" si="4"/>
        <v>3</v>
      </c>
      <c r="I20" s="67"/>
      <c r="L20" s="58" t="s">
        <v>48</v>
      </c>
      <c r="M20" s="59">
        <v>6.0</v>
      </c>
      <c r="N20" s="60">
        <v>0.0</v>
      </c>
      <c r="O20" s="61">
        <v>19.0</v>
      </c>
      <c r="P20" s="62">
        <f t="shared" si="2"/>
        <v>0.3157894737</v>
      </c>
      <c r="Q20" s="63">
        <v>0.0</v>
      </c>
      <c r="R20" s="64">
        <v>0.0</v>
      </c>
      <c r="S20" s="60">
        <f t="shared" si="3"/>
        <v>6</v>
      </c>
    </row>
    <row r="21">
      <c r="A21" s="58" t="s">
        <v>49</v>
      </c>
      <c r="B21" s="59">
        <v>2.0</v>
      </c>
      <c r="C21" s="60">
        <v>0.0</v>
      </c>
      <c r="D21" s="61">
        <v>12.0</v>
      </c>
      <c r="E21" s="62">
        <f t="shared" si="5"/>
        <v>0.1666666667</v>
      </c>
      <c r="F21" s="63">
        <v>0.0</v>
      </c>
      <c r="G21" s="64">
        <v>0.0</v>
      </c>
      <c r="H21" s="60">
        <f t="shared" si="4"/>
        <v>2</v>
      </c>
      <c r="I21" s="3" t="s">
        <v>0</v>
      </c>
      <c r="J21" s="4"/>
      <c r="K21" s="5"/>
      <c r="L21" s="58" t="s">
        <v>50</v>
      </c>
      <c r="M21" s="59">
        <v>1.0</v>
      </c>
      <c r="N21" s="60">
        <v>0.0</v>
      </c>
      <c r="O21" s="61">
        <v>5.0</v>
      </c>
      <c r="P21" s="62">
        <f t="shared" si="2"/>
        <v>0.2</v>
      </c>
      <c r="Q21" s="63">
        <v>0.0</v>
      </c>
      <c r="R21" s="64">
        <v>0.0</v>
      </c>
      <c r="S21" s="60">
        <f t="shared" si="3"/>
        <v>1</v>
      </c>
    </row>
    <row r="22">
      <c r="A22" s="58" t="s">
        <v>50</v>
      </c>
      <c r="B22" s="59">
        <v>5.0</v>
      </c>
      <c r="C22" s="60">
        <v>0.0</v>
      </c>
      <c r="D22" s="61">
        <v>15.0</v>
      </c>
      <c r="E22" s="62">
        <f t="shared" si="5"/>
        <v>0.3333333333</v>
      </c>
      <c r="F22" s="63">
        <v>0.0</v>
      </c>
      <c r="G22" s="64">
        <v>0.0</v>
      </c>
      <c r="H22" s="60">
        <f t="shared" si="4"/>
        <v>5</v>
      </c>
      <c r="I22" s="7" t="s">
        <v>1</v>
      </c>
      <c r="J22" s="7" t="s">
        <v>2</v>
      </c>
      <c r="K22" s="8" t="s">
        <v>3</v>
      </c>
      <c r="L22" s="58" t="s">
        <v>51</v>
      </c>
      <c r="M22" s="59">
        <v>7.0</v>
      </c>
      <c r="N22" s="60">
        <v>0.0</v>
      </c>
      <c r="O22" s="61">
        <v>11.0</v>
      </c>
      <c r="P22" s="62">
        <f t="shared" si="2"/>
        <v>0.6363636364</v>
      </c>
      <c r="Q22" s="63">
        <v>0.0</v>
      </c>
      <c r="R22" s="64">
        <v>0.0</v>
      </c>
      <c r="S22" s="60">
        <f t="shared" si="3"/>
        <v>7</v>
      </c>
    </row>
    <row r="23">
      <c r="A23" s="58" t="s">
        <v>52</v>
      </c>
      <c r="B23" s="59">
        <v>5.0</v>
      </c>
      <c r="C23" s="60">
        <v>0.0</v>
      </c>
      <c r="D23" s="61">
        <v>13.0</v>
      </c>
      <c r="E23" s="62">
        <f t="shared" si="5"/>
        <v>0.3846153846</v>
      </c>
      <c r="F23" s="63">
        <v>0.0</v>
      </c>
      <c r="G23" s="64">
        <v>0.0</v>
      </c>
      <c r="H23" s="60">
        <f t="shared" si="4"/>
        <v>5</v>
      </c>
      <c r="I23" s="10" t="str">
        <f>IFERROR(__xludf.DUMMYFUNCTION("IFERROR(SORTN(FILTER({A4:A50, B4:B50, IF(A4:A50="""", """", C2); L4:L50, M4:M50, IF(L4:L50="""", """", N2)}, {B4:B50; M4:M50} &gt; 0), 10, 0, 2, FALSE), """")"),"Luis Diaz")</f>
        <v>Luis Diaz</v>
      </c>
      <c r="J23" s="10">
        <f>IFERROR(__xludf.DUMMYFUNCTION("""COMPUTED_VALUE"""),37.0)</f>
        <v>37</v>
      </c>
      <c r="K23" s="11" t="str">
        <f>IFERROR(__xludf.DUMMYFUNCTION("""COMPUTED_VALUE"""),"(SDC)")</f>
        <v>(SDC)</v>
      </c>
      <c r="L23" s="58" t="s">
        <v>53</v>
      </c>
      <c r="M23" s="59">
        <v>1.0</v>
      </c>
      <c r="N23" s="60">
        <v>0.0</v>
      </c>
      <c r="O23" s="61">
        <v>6.0</v>
      </c>
      <c r="P23" s="62">
        <f t="shared" si="2"/>
        <v>0.1666666667</v>
      </c>
      <c r="Q23" s="63">
        <v>0.0</v>
      </c>
      <c r="R23" s="64">
        <v>0.0</v>
      </c>
      <c r="S23" s="60">
        <f t="shared" si="3"/>
        <v>1</v>
      </c>
    </row>
    <row r="24">
      <c r="A24" s="58" t="s">
        <v>54</v>
      </c>
      <c r="B24" s="59">
        <v>3.0</v>
      </c>
      <c r="C24" s="60">
        <v>0.0</v>
      </c>
      <c r="D24" s="61">
        <v>6.0</v>
      </c>
      <c r="E24" s="62">
        <f>B24/D24</f>
        <v>0.5</v>
      </c>
      <c r="F24" s="63">
        <v>0.0</v>
      </c>
      <c r="G24" s="64">
        <v>0.0</v>
      </c>
      <c r="H24" s="60">
        <f t="shared" si="4"/>
        <v>3</v>
      </c>
      <c r="I24" s="10" t="str">
        <f>IFERROR(__xludf.DUMMYFUNCTION("""COMPUTED_VALUE"""),"Van Basten")</f>
        <v>Van Basten</v>
      </c>
      <c r="J24" s="10">
        <f>IFERROR(__xludf.DUMMYFUNCTION("""COMPUTED_VALUE"""),36.0)</f>
        <v>36</v>
      </c>
      <c r="K24" s="11" t="str">
        <f>IFERROR(__xludf.DUMMYFUNCTION("""COMPUTED_VALUE""")," (VDG)")</f>
        <v> (VDG)</v>
      </c>
      <c r="L24" s="58" t="s">
        <v>55</v>
      </c>
      <c r="M24" s="59">
        <v>37.0</v>
      </c>
      <c r="N24" s="60">
        <v>0.0</v>
      </c>
      <c r="O24" s="61">
        <v>22.0</v>
      </c>
      <c r="P24" s="62">
        <f t="shared" si="2"/>
        <v>1.681818182</v>
      </c>
      <c r="Q24" s="63">
        <v>0.0</v>
      </c>
      <c r="R24" s="64">
        <v>0.0</v>
      </c>
      <c r="S24" s="60">
        <f t="shared" si="3"/>
        <v>37</v>
      </c>
      <c r="U24" s="68"/>
      <c r="V24" s="68"/>
      <c r="W24" s="68"/>
      <c r="X24" s="69"/>
      <c r="Y24" s="69"/>
    </row>
    <row r="25">
      <c r="A25" s="58" t="s">
        <v>56</v>
      </c>
      <c r="B25" s="59">
        <v>10.0</v>
      </c>
      <c r="C25" s="60">
        <v>0.0</v>
      </c>
      <c r="D25" s="61">
        <v>15.0</v>
      </c>
      <c r="E25" s="62">
        <f t="shared" ref="E25:E28" si="6">IFERROR(B25/D25, 0)</f>
        <v>0.6666666667</v>
      </c>
      <c r="F25" s="63">
        <v>0.0</v>
      </c>
      <c r="G25" s="64">
        <v>0.0</v>
      </c>
      <c r="H25" s="60">
        <f t="shared" si="4"/>
        <v>10</v>
      </c>
      <c r="I25" s="10" t="str">
        <f>IFERROR(__xludf.DUMMYFUNCTION("""COMPUTED_VALUE"""),"Havertz")</f>
        <v>Havertz</v>
      </c>
      <c r="J25" s="10">
        <f>IFERROR(__xludf.DUMMYFUNCTION("""COMPUTED_VALUE"""),36.0)</f>
        <v>36</v>
      </c>
      <c r="K25" s="11" t="str">
        <f>IFERROR(__xludf.DUMMYFUNCTION("""COMPUTED_VALUE"""),"(SDC)")</f>
        <v>(SDC)</v>
      </c>
      <c r="L25" s="58" t="s">
        <v>57</v>
      </c>
      <c r="M25" s="59">
        <v>36.0</v>
      </c>
      <c r="N25" s="60">
        <v>0.0</v>
      </c>
      <c r="O25" s="61">
        <v>28.0</v>
      </c>
      <c r="P25" s="62">
        <f t="shared" si="2"/>
        <v>1.285714286</v>
      </c>
      <c r="Q25" s="63">
        <v>2.0</v>
      </c>
      <c r="R25" s="64">
        <v>0.0</v>
      </c>
      <c r="S25" s="60">
        <f t="shared" si="3"/>
        <v>32</v>
      </c>
      <c r="U25" s="68"/>
      <c r="V25" s="68"/>
      <c r="W25" s="70"/>
      <c r="X25" s="69"/>
      <c r="Y25" s="69"/>
    </row>
    <row r="26">
      <c r="A26" s="58" t="s">
        <v>58</v>
      </c>
      <c r="B26" s="59">
        <v>36.0</v>
      </c>
      <c r="C26" s="60">
        <v>0.0</v>
      </c>
      <c r="D26" s="61">
        <v>27.0</v>
      </c>
      <c r="E26" s="62">
        <f t="shared" si="6"/>
        <v>1.333333333</v>
      </c>
      <c r="F26" s="63">
        <v>0.0</v>
      </c>
      <c r="G26" s="64">
        <v>0.0</v>
      </c>
      <c r="H26" s="60">
        <f t="shared" si="4"/>
        <v>36</v>
      </c>
      <c r="I26" s="10" t="str">
        <f>IFERROR(__xludf.DUMMYFUNCTION("""COMPUTED_VALUE"""),"Shevchenko")</f>
        <v>Shevchenko</v>
      </c>
      <c r="J26" s="10">
        <f>IFERROR(__xludf.DUMMYFUNCTION("""COMPUTED_VALUE"""),14.0)</f>
        <v>14</v>
      </c>
      <c r="K26" s="11" t="str">
        <f>IFERROR(__xludf.DUMMYFUNCTION("""COMPUTED_VALUE""")," (VDG)")</f>
        <v> (VDG)</v>
      </c>
      <c r="L26" s="58" t="s">
        <v>59</v>
      </c>
      <c r="M26" s="59">
        <v>6.0</v>
      </c>
      <c r="N26" s="60">
        <v>0.0</v>
      </c>
      <c r="O26" s="61">
        <v>10.0</v>
      </c>
      <c r="P26" s="62">
        <f t="shared" si="2"/>
        <v>0.6</v>
      </c>
      <c r="Q26" s="63">
        <v>0.0</v>
      </c>
      <c r="R26" s="64">
        <v>0.0</v>
      </c>
      <c r="S26" s="60">
        <f t="shared" si="3"/>
        <v>6</v>
      </c>
      <c r="U26" s="68"/>
      <c r="V26" s="68"/>
      <c r="W26" s="9"/>
    </row>
    <row r="27">
      <c r="A27" s="58" t="s">
        <v>60</v>
      </c>
      <c r="B27" s="59">
        <v>14.0</v>
      </c>
      <c r="C27" s="60">
        <v>0.0</v>
      </c>
      <c r="D27" s="61">
        <v>21.0</v>
      </c>
      <c r="E27" s="62">
        <f t="shared" si="6"/>
        <v>0.6666666667</v>
      </c>
      <c r="F27" s="63">
        <v>0.0</v>
      </c>
      <c r="G27" s="64">
        <v>0.0</v>
      </c>
      <c r="H27" s="60">
        <f t="shared" si="4"/>
        <v>14</v>
      </c>
      <c r="I27" s="12" t="str">
        <f>IFERROR(__xludf.DUMMYFUNCTION("""COMPUTED_VALUE"""),"Van Nistelrooij")</f>
        <v>Van Nistelrooij</v>
      </c>
      <c r="J27" s="10">
        <f>IFERROR(__xludf.DUMMYFUNCTION("""COMPUTED_VALUE"""),13.0)</f>
        <v>13</v>
      </c>
      <c r="K27" s="11" t="str">
        <f>IFERROR(__xludf.DUMMYFUNCTION("""COMPUTED_VALUE""")," (VDG)")</f>
        <v> (VDG)</v>
      </c>
      <c r="L27" s="58" t="s">
        <v>61</v>
      </c>
      <c r="M27" s="59">
        <v>3.0</v>
      </c>
      <c r="N27" s="60">
        <v>0.0</v>
      </c>
      <c r="O27" s="61">
        <v>12.0</v>
      </c>
      <c r="P27" s="62">
        <f t="shared" si="2"/>
        <v>0.25</v>
      </c>
      <c r="Q27" s="63">
        <v>0.0</v>
      </c>
      <c r="R27" s="64">
        <v>0.0</v>
      </c>
      <c r="S27" s="60">
        <f t="shared" si="3"/>
        <v>3</v>
      </c>
      <c r="U27" s="68"/>
      <c r="V27" s="68"/>
      <c r="W27" s="9"/>
    </row>
    <row r="28">
      <c r="A28" s="58" t="s">
        <v>62</v>
      </c>
      <c r="B28" s="59">
        <v>6.0</v>
      </c>
      <c r="C28" s="60">
        <v>0.0</v>
      </c>
      <c r="D28" s="61">
        <v>10.0</v>
      </c>
      <c r="E28" s="62">
        <f t="shared" si="6"/>
        <v>0.6</v>
      </c>
      <c r="F28" s="63">
        <v>0.0</v>
      </c>
      <c r="G28" s="64">
        <v>0.0</v>
      </c>
      <c r="H28" s="60">
        <f t="shared" si="4"/>
        <v>6</v>
      </c>
      <c r="I28" s="12" t="str">
        <f>IFERROR(__xludf.DUMMYFUNCTION("""COMPUTED_VALUE"""),"Mbappe")</f>
        <v>Mbappe</v>
      </c>
      <c r="J28" s="10">
        <f>IFERROR(__xludf.DUMMYFUNCTION("""COMPUTED_VALUE"""),10.0)</f>
        <v>10</v>
      </c>
      <c r="K28" s="11" t="str">
        <f>IFERROR(__xludf.DUMMYFUNCTION("""COMPUTED_VALUE""")," (VDG)")</f>
        <v> (VDG)</v>
      </c>
      <c r="L28" s="58" t="s">
        <v>21</v>
      </c>
      <c r="M28" s="59">
        <v>0.0</v>
      </c>
      <c r="N28" s="60">
        <v>0.0</v>
      </c>
      <c r="O28" s="61">
        <v>0.0</v>
      </c>
      <c r="P28" s="62">
        <f t="shared" si="2"/>
        <v>0</v>
      </c>
      <c r="Q28" s="63">
        <v>0.0</v>
      </c>
      <c r="R28" s="64">
        <v>0.0</v>
      </c>
      <c r="S28" s="60">
        <f t="shared" si="3"/>
        <v>0</v>
      </c>
      <c r="U28" s="68"/>
      <c r="V28" s="68"/>
      <c r="W28" s="9"/>
    </row>
    <row r="29">
      <c r="A29" s="58" t="s">
        <v>63</v>
      </c>
      <c r="B29" s="59">
        <v>3.0</v>
      </c>
      <c r="C29" s="60">
        <v>0.0</v>
      </c>
      <c r="D29" s="61">
        <v>6.0</v>
      </c>
      <c r="E29" s="62">
        <f>B29/D29</f>
        <v>0.5</v>
      </c>
      <c r="F29" s="63">
        <v>1.0</v>
      </c>
      <c r="G29" s="64">
        <v>0.0</v>
      </c>
      <c r="H29" s="60">
        <f t="shared" si="4"/>
        <v>1</v>
      </c>
      <c r="I29" s="10" t="str">
        <f>IFERROR(__xludf.DUMMYFUNCTION("""COMPUTED_VALUE"""),"Dani Olmo")</f>
        <v>Dani Olmo</v>
      </c>
      <c r="J29" s="10">
        <f>IFERROR(__xludf.DUMMYFUNCTION("""COMPUTED_VALUE"""),10.0)</f>
        <v>10</v>
      </c>
      <c r="K29" s="11" t="str">
        <f>IFERROR(__xludf.DUMMYFUNCTION("""COMPUTED_VALUE"""),"(SDC)")</f>
        <v>(SDC)</v>
      </c>
      <c r="L29" s="58" t="s">
        <v>52</v>
      </c>
      <c r="M29" s="59">
        <v>2.0</v>
      </c>
      <c r="N29" s="60">
        <v>0.0</v>
      </c>
      <c r="O29" s="61">
        <v>4.0</v>
      </c>
      <c r="P29" s="62">
        <f t="shared" si="2"/>
        <v>0.5</v>
      </c>
      <c r="Q29" s="63">
        <v>0.0</v>
      </c>
      <c r="R29" s="64">
        <v>0.0</v>
      </c>
      <c r="S29" s="60">
        <f t="shared" si="3"/>
        <v>2</v>
      </c>
      <c r="U29" s="68"/>
      <c r="V29" s="68"/>
      <c r="W29" s="9"/>
    </row>
    <row r="30">
      <c r="A30" s="58" t="s">
        <v>64</v>
      </c>
      <c r="B30" s="59">
        <v>0.0</v>
      </c>
      <c r="C30" s="60">
        <v>0.0</v>
      </c>
      <c r="D30" s="61">
        <v>2.0</v>
      </c>
      <c r="E30" s="62">
        <f t="shared" ref="E30:E32" si="7">IFERROR(B30/D30, 0)</f>
        <v>0</v>
      </c>
      <c r="F30" s="63">
        <v>0.0</v>
      </c>
      <c r="G30" s="64">
        <v>0.0</v>
      </c>
      <c r="H30" s="60">
        <f t="shared" si="4"/>
        <v>0</v>
      </c>
      <c r="I30" s="10" t="str">
        <f>IFERROR(__xludf.DUMMYFUNCTION("""COMPUTED_VALUE"""),"Van Nistelrooy")</f>
        <v>Van Nistelrooy</v>
      </c>
      <c r="J30" s="10">
        <f>IFERROR(__xludf.DUMMYFUNCTION("""COMPUTED_VALUE"""),7.0)</f>
        <v>7</v>
      </c>
      <c r="K30" s="11" t="str">
        <f>IFERROR(__xludf.DUMMYFUNCTION("""COMPUTED_VALUE"""),"(SDC)")</f>
        <v>(SDC)</v>
      </c>
      <c r="L30" s="58" t="s">
        <v>65</v>
      </c>
      <c r="M30" s="59">
        <v>7.0</v>
      </c>
      <c r="N30" s="60">
        <v>0.0</v>
      </c>
      <c r="O30" s="61">
        <v>11.0</v>
      </c>
      <c r="P30" s="62">
        <f t="shared" si="2"/>
        <v>0.6363636364</v>
      </c>
      <c r="Q30" s="63">
        <v>0.0</v>
      </c>
      <c r="R30" s="64">
        <v>0.0</v>
      </c>
      <c r="S30" s="60">
        <f t="shared" si="3"/>
        <v>7</v>
      </c>
      <c r="V30" s="9"/>
      <c r="W30" s="9"/>
    </row>
    <row r="31">
      <c r="A31" s="58" t="s">
        <v>66</v>
      </c>
      <c r="B31" s="59">
        <v>0.0</v>
      </c>
      <c r="C31" s="60">
        <v>0.0</v>
      </c>
      <c r="D31" s="61">
        <v>1.0</v>
      </c>
      <c r="E31" s="62">
        <f t="shared" si="7"/>
        <v>0</v>
      </c>
      <c r="F31" s="63">
        <v>0.0</v>
      </c>
      <c r="G31" s="64">
        <v>0.0</v>
      </c>
      <c r="H31" s="60">
        <f t="shared" si="4"/>
        <v>0</v>
      </c>
      <c r="I31" s="10" t="str">
        <f>IFERROR(__xludf.DUMMYFUNCTION("""COMPUTED_VALUE"""),"Vieri")</f>
        <v>Vieri</v>
      </c>
      <c r="J31" s="10">
        <f>IFERROR(__xludf.DUMMYFUNCTION("""COMPUTED_VALUE"""),7.0)</f>
        <v>7</v>
      </c>
      <c r="K31" s="11" t="str">
        <f>IFERROR(__xludf.DUMMYFUNCTION("""COMPUTED_VALUE"""),"(SDC)")</f>
        <v>(SDC)</v>
      </c>
      <c r="L31" s="58" t="s">
        <v>67</v>
      </c>
      <c r="M31" s="59">
        <v>0.0</v>
      </c>
      <c r="N31" s="60">
        <v>0.0</v>
      </c>
      <c r="O31" s="61">
        <v>3.0</v>
      </c>
      <c r="P31" s="62">
        <f t="shared" si="2"/>
        <v>0</v>
      </c>
      <c r="Q31" s="63">
        <v>0.0</v>
      </c>
      <c r="R31" s="64">
        <v>0.0</v>
      </c>
      <c r="S31" s="60">
        <f t="shared" si="3"/>
        <v>0</v>
      </c>
    </row>
    <row r="32">
      <c r="A32" s="58" t="s">
        <v>68</v>
      </c>
      <c r="B32" s="59">
        <v>13.0</v>
      </c>
      <c r="C32" s="60">
        <v>0.0</v>
      </c>
      <c r="D32" s="61">
        <v>16.0</v>
      </c>
      <c r="E32" s="62">
        <f t="shared" si="7"/>
        <v>0.8125</v>
      </c>
      <c r="F32" s="63">
        <v>0.0</v>
      </c>
      <c r="G32" s="64">
        <v>0.0</v>
      </c>
      <c r="H32" s="60">
        <f t="shared" si="4"/>
        <v>13</v>
      </c>
      <c r="I32" s="10" t="str">
        <f>IFERROR(__xludf.DUMMYFUNCTION("""COMPUTED_VALUE"""),"Dembele")</f>
        <v>Dembele</v>
      </c>
      <c r="J32" s="10">
        <f>IFERROR(__xludf.DUMMYFUNCTION("""COMPUTED_VALUE"""),6.0)</f>
        <v>6</v>
      </c>
      <c r="K32" s="18" t="str">
        <f>IFERROR(__xludf.DUMMYFUNCTION("""COMPUTED_VALUE""")," (VDG)")</f>
        <v> (VDG)</v>
      </c>
      <c r="L32" s="58" t="s">
        <v>69</v>
      </c>
      <c r="M32" s="59">
        <v>0.0</v>
      </c>
      <c r="N32" s="60">
        <v>0.0</v>
      </c>
      <c r="O32" s="61">
        <v>2.0</v>
      </c>
      <c r="P32" s="62">
        <f t="shared" si="2"/>
        <v>0</v>
      </c>
      <c r="Q32" s="63">
        <v>0.0</v>
      </c>
      <c r="R32" s="64">
        <v>0.0</v>
      </c>
      <c r="S32" s="60">
        <f t="shared" si="3"/>
        <v>0</v>
      </c>
    </row>
    <row r="33">
      <c r="A33" s="58" t="s">
        <v>70</v>
      </c>
      <c r="B33" s="59">
        <v>0.0</v>
      </c>
      <c r="C33" s="60">
        <v>0.0</v>
      </c>
      <c r="D33" s="61">
        <v>2.0</v>
      </c>
      <c r="E33" s="62">
        <f>B33/D33</f>
        <v>0</v>
      </c>
      <c r="F33" s="63">
        <v>0.0</v>
      </c>
      <c r="G33" s="64">
        <v>0.0</v>
      </c>
      <c r="H33" s="60">
        <f t="shared" si="4"/>
        <v>0</v>
      </c>
      <c r="I33" s="68"/>
      <c r="L33" s="71"/>
      <c r="M33" s="72"/>
      <c r="N33" s="34"/>
      <c r="O33" s="73"/>
      <c r="P33" s="62">
        <f t="shared" si="2"/>
        <v>0</v>
      </c>
      <c r="Q33" s="74"/>
      <c r="R33" s="64">
        <v>0.0</v>
      </c>
      <c r="S33" s="60">
        <f t="shared" si="3"/>
        <v>0</v>
      </c>
    </row>
    <row r="34">
      <c r="A34" s="58" t="s">
        <v>72</v>
      </c>
      <c r="B34" s="59">
        <v>0.0</v>
      </c>
      <c r="C34" s="60">
        <v>0.0</v>
      </c>
      <c r="D34" s="61">
        <v>5.0</v>
      </c>
      <c r="E34" s="62">
        <f>IFERROR(B34/D34, 0)</f>
        <v>0</v>
      </c>
      <c r="F34" s="63">
        <v>0.0</v>
      </c>
      <c r="G34" s="64">
        <v>0.0</v>
      </c>
      <c r="H34" s="60">
        <f t="shared" si="4"/>
        <v>0</v>
      </c>
      <c r="I34" s="6"/>
      <c r="J34" s="6"/>
      <c r="K34" s="6"/>
      <c r="L34" s="71"/>
      <c r="M34" s="72"/>
      <c r="N34" s="34"/>
      <c r="O34" s="73"/>
      <c r="P34" s="62">
        <f t="shared" si="2"/>
        <v>0</v>
      </c>
      <c r="Q34" s="74"/>
      <c r="R34" s="64">
        <v>0.0</v>
      </c>
      <c r="S34" s="60">
        <f t="shared" si="3"/>
        <v>0</v>
      </c>
    </row>
    <row r="35">
      <c r="A35" s="58" t="s">
        <v>73</v>
      </c>
      <c r="B35" s="59"/>
      <c r="C35" s="60"/>
      <c r="D35" s="61"/>
      <c r="E35" s="62"/>
      <c r="F35" s="63"/>
      <c r="G35" s="64">
        <v>0.0</v>
      </c>
      <c r="H35" s="60">
        <f t="shared" si="4"/>
        <v>0</v>
      </c>
      <c r="I35" s="70"/>
      <c r="J35" s="70"/>
      <c r="K35" s="9"/>
      <c r="L35" s="71"/>
      <c r="M35" s="72"/>
      <c r="N35" s="34"/>
      <c r="O35" s="73"/>
      <c r="P35" s="62">
        <f t="shared" si="2"/>
        <v>0</v>
      </c>
      <c r="Q35" s="74"/>
      <c r="R35" s="64">
        <v>0.0</v>
      </c>
      <c r="S35" s="60">
        <f t="shared" si="3"/>
        <v>0</v>
      </c>
    </row>
    <row r="36">
      <c r="A36" s="58" t="s">
        <v>30</v>
      </c>
      <c r="B36" s="59"/>
      <c r="C36" s="60"/>
      <c r="D36" s="61"/>
      <c r="E36" s="62"/>
      <c r="F36" s="63"/>
      <c r="G36" s="64">
        <v>0.0</v>
      </c>
      <c r="H36" s="60">
        <f t="shared" si="4"/>
        <v>0</v>
      </c>
      <c r="I36" s="9"/>
      <c r="J36" s="9"/>
      <c r="K36" s="9"/>
      <c r="L36" s="71"/>
      <c r="M36" s="72"/>
      <c r="N36" s="34"/>
      <c r="O36" s="73"/>
      <c r="P36" s="62">
        <f t="shared" si="2"/>
        <v>0</v>
      </c>
      <c r="Q36" s="74"/>
      <c r="R36" s="64">
        <v>0.0</v>
      </c>
      <c r="S36" s="60">
        <f t="shared" si="3"/>
        <v>0</v>
      </c>
    </row>
    <row r="37">
      <c r="A37" s="58"/>
      <c r="B37" s="59"/>
      <c r="C37" s="60"/>
      <c r="D37" s="61"/>
      <c r="E37" s="62"/>
      <c r="F37" s="63"/>
      <c r="G37" s="64">
        <v>0.0</v>
      </c>
      <c r="H37" s="60">
        <f t="shared" si="4"/>
        <v>0</v>
      </c>
      <c r="I37" s="9"/>
      <c r="J37" s="9"/>
      <c r="K37" s="9"/>
      <c r="L37" s="71"/>
      <c r="M37" s="72"/>
      <c r="N37" s="34"/>
      <c r="O37" s="73"/>
      <c r="P37" s="62">
        <f t="shared" si="2"/>
        <v>0</v>
      </c>
      <c r="Q37" s="74"/>
      <c r="R37" s="64">
        <v>0.0</v>
      </c>
      <c r="S37" s="60">
        <f t="shared" si="3"/>
        <v>0</v>
      </c>
    </row>
    <row r="38">
      <c r="A38" s="75"/>
      <c r="B38" s="72"/>
      <c r="C38" s="34"/>
      <c r="D38" s="73"/>
      <c r="E38" s="62"/>
      <c r="F38" s="74"/>
      <c r="G38" s="64">
        <v>0.0</v>
      </c>
      <c r="H38" s="60">
        <f t="shared" si="4"/>
        <v>0</v>
      </c>
      <c r="I38" s="70"/>
      <c r="J38" s="9"/>
      <c r="K38" s="9"/>
      <c r="L38" s="71"/>
      <c r="M38" s="72"/>
      <c r="N38" s="34"/>
      <c r="O38" s="73"/>
      <c r="P38" s="62">
        <f t="shared" si="2"/>
        <v>0</v>
      </c>
      <c r="Q38" s="74"/>
      <c r="R38" s="64">
        <v>0.0</v>
      </c>
      <c r="S38" s="60">
        <f t="shared" si="3"/>
        <v>0</v>
      </c>
    </row>
    <row r="39">
      <c r="A39" s="75"/>
      <c r="B39" s="72"/>
      <c r="C39" s="34"/>
      <c r="D39" s="73"/>
      <c r="E39" s="62"/>
      <c r="F39" s="74"/>
      <c r="G39" s="64">
        <v>0.0</v>
      </c>
      <c r="H39" s="60">
        <f t="shared" si="4"/>
        <v>0</v>
      </c>
      <c r="I39" s="9"/>
      <c r="J39" s="9"/>
      <c r="K39" s="9"/>
      <c r="L39" s="71"/>
      <c r="M39" s="72"/>
      <c r="N39" s="34"/>
      <c r="O39" s="73"/>
      <c r="P39" s="62">
        <f t="shared" si="2"/>
        <v>0</v>
      </c>
      <c r="Q39" s="74"/>
      <c r="R39" s="64">
        <v>0.0</v>
      </c>
      <c r="S39" s="60">
        <f t="shared" si="3"/>
        <v>0</v>
      </c>
    </row>
    <row r="40">
      <c r="A40" s="75"/>
      <c r="B40" s="72"/>
      <c r="C40" s="34"/>
      <c r="D40" s="73"/>
      <c r="E40" s="62"/>
      <c r="F40" s="74"/>
      <c r="G40" s="64">
        <v>0.0</v>
      </c>
      <c r="H40" s="60">
        <f t="shared" si="4"/>
        <v>0</v>
      </c>
      <c r="I40" s="9"/>
      <c r="J40" s="9"/>
      <c r="K40" s="9"/>
      <c r="L40" s="71"/>
      <c r="M40" s="72"/>
      <c r="N40" s="34"/>
      <c r="O40" s="73"/>
      <c r="P40" s="62">
        <f t="shared" si="2"/>
        <v>0</v>
      </c>
      <c r="Q40" s="74"/>
      <c r="R40" s="64">
        <v>0.0</v>
      </c>
      <c r="S40" s="60">
        <f t="shared" si="3"/>
        <v>0</v>
      </c>
    </row>
    <row r="42">
      <c r="H42" s="76" t="str">
        <f>IF(AND(J55&gt;1, MOD(J55, 30)=1), "🏆 ¡DÍA DE BALÓN DE ORO! 🏆", "¡Próxima entrega del Balón de Oro en " &amp; (30 - MOD(J55, 30)) &amp; " partidos!")</f>
        <v>¡Próxima entrega del Balón de Oro en 30 partidos!</v>
      </c>
      <c r="I42" s="4"/>
      <c r="J42" s="4"/>
      <c r="K42" s="4"/>
      <c r="L42" s="5"/>
    </row>
    <row r="43">
      <c r="H43" s="1" t="str">
        <f>I54 &amp; " - " &amp; L54</f>
        <v>12 - 14</v>
      </c>
      <c r="L43" s="2"/>
    </row>
    <row r="44">
      <c r="A44" s="68"/>
      <c r="B44" s="68"/>
      <c r="C44" s="68"/>
      <c r="D44" s="68"/>
      <c r="E44" s="68"/>
      <c r="F44" s="68"/>
      <c r="G44" s="68"/>
      <c r="L44" s="2"/>
    </row>
    <row r="45">
      <c r="A45" s="68"/>
      <c r="B45" s="68"/>
      <c r="C45" s="68"/>
      <c r="D45" s="68"/>
      <c r="E45" s="68"/>
      <c r="F45" s="68"/>
      <c r="G45" s="68"/>
      <c r="L45" s="2"/>
    </row>
    <row r="46">
      <c r="A46" s="68"/>
      <c r="B46" s="68"/>
      <c r="C46" s="68"/>
      <c r="D46" s="68"/>
      <c r="E46" s="68"/>
      <c r="F46" s="68"/>
      <c r="G46" s="68"/>
      <c r="L46" s="2"/>
    </row>
    <row r="47">
      <c r="A47" s="68"/>
      <c r="B47" s="68"/>
      <c r="C47" s="68"/>
      <c r="D47" s="68"/>
      <c r="E47" s="68"/>
      <c r="F47" s="68"/>
      <c r="G47" s="68"/>
      <c r="L47" s="2"/>
    </row>
    <row r="48">
      <c r="A48" s="68"/>
      <c r="B48" s="68"/>
      <c r="C48" s="68"/>
      <c r="D48" s="68"/>
      <c r="E48" s="68"/>
      <c r="F48" s="68"/>
      <c r="G48" s="68"/>
      <c r="L48" s="2"/>
    </row>
    <row r="49">
      <c r="A49" s="68"/>
      <c r="B49" s="68"/>
      <c r="C49" s="68"/>
      <c r="D49" s="68"/>
      <c r="E49" s="68"/>
      <c r="F49" s="68"/>
      <c r="G49" s="68"/>
      <c r="L49" s="2"/>
    </row>
    <row r="50">
      <c r="A50" s="68"/>
      <c r="B50" s="68"/>
      <c r="C50" s="68"/>
      <c r="D50" s="68"/>
      <c r="E50" s="68"/>
      <c r="F50" s="68"/>
      <c r="G50" s="68"/>
      <c r="L50" s="2"/>
    </row>
    <row r="51">
      <c r="A51" s="68"/>
      <c r="B51" s="68"/>
      <c r="C51" s="68"/>
      <c r="D51" s="68"/>
      <c r="E51" s="68"/>
      <c r="F51" s="68"/>
      <c r="G51" s="68"/>
      <c r="L51" s="2"/>
    </row>
    <row r="52">
      <c r="A52" s="68"/>
      <c r="B52" s="68"/>
      <c r="C52" s="68"/>
      <c r="D52" s="68"/>
      <c r="E52" s="68"/>
      <c r="F52" s="68"/>
      <c r="G52" s="68"/>
      <c r="L52" s="2"/>
    </row>
    <row r="53">
      <c r="A53" s="68"/>
      <c r="B53" s="68"/>
      <c r="C53" s="68"/>
      <c r="D53" s="68"/>
      <c r="E53" s="68"/>
      <c r="F53" s="68"/>
      <c r="G53" s="68"/>
      <c r="H53" s="13"/>
      <c r="I53" s="13"/>
      <c r="J53" s="13"/>
      <c r="K53" s="13"/>
      <c r="L53" s="14"/>
    </row>
    <row r="54">
      <c r="A54" s="68"/>
      <c r="B54" s="68"/>
      <c r="C54" s="68"/>
      <c r="D54" s="68"/>
      <c r="E54" s="68"/>
      <c r="F54" s="68"/>
      <c r="G54" s="68"/>
      <c r="H54" s="15" t="s">
        <v>4</v>
      </c>
      <c r="I54" s="16">
        <v>12.0</v>
      </c>
      <c r="J54" s="17" t="s">
        <v>5</v>
      </c>
      <c r="K54" s="15" t="s">
        <v>4</v>
      </c>
      <c r="L54" s="16">
        <v>14.0</v>
      </c>
    </row>
    <row r="55">
      <c r="A55" s="68"/>
      <c r="B55" s="68"/>
      <c r="C55" s="68"/>
      <c r="D55" s="68"/>
      <c r="E55" s="68"/>
      <c r="F55" s="68"/>
      <c r="G55" s="68"/>
      <c r="H55" s="19" t="s">
        <v>6</v>
      </c>
      <c r="I55" s="20">
        <f>L54</f>
        <v>14</v>
      </c>
      <c r="J55" s="21">
        <f>I54+L54+I56</f>
        <v>30</v>
      </c>
      <c r="K55" s="19" t="s">
        <v>6</v>
      </c>
      <c r="L55" s="20">
        <f>I54</f>
        <v>12</v>
      </c>
    </row>
    <row r="56">
      <c r="A56" s="68"/>
      <c r="B56" s="68"/>
      <c r="C56" s="68"/>
      <c r="D56" s="68"/>
      <c r="E56" s="68"/>
      <c r="F56" s="68"/>
      <c r="G56" s="68"/>
      <c r="H56" s="15" t="s">
        <v>7</v>
      </c>
      <c r="I56" s="16">
        <v>4.0</v>
      </c>
      <c r="J56" s="22" t="s">
        <v>8</v>
      </c>
      <c r="K56" s="15" t="s">
        <v>7</v>
      </c>
      <c r="L56" s="16">
        <v>4.0</v>
      </c>
    </row>
    <row r="57">
      <c r="A57" s="68"/>
      <c r="B57" s="68"/>
      <c r="C57" s="68"/>
      <c r="D57" s="68"/>
      <c r="E57" s="68"/>
      <c r="F57" s="68"/>
      <c r="G57" s="68"/>
      <c r="H57" s="19" t="s">
        <v>9</v>
      </c>
      <c r="I57" s="20">
        <f>I54-I55</f>
        <v>-2</v>
      </c>
      <c r="J57" s="23">
        <v>2.0</v>
      </c>
      <c r="K57" s="19" t="s">
        <v>9</v>
      </c>
      <c r="L57" s="20">
        <f>L54-L55</f>
        <v>2</v>
      </c>
    </row>
    <row r="58">
      <c r="A58" s="68"/>
      <c r="B58" s="68"/>
      <c r="C58" s="68"/>
      <c r="D58" s="68"/>
      <c r="E58" s="68"/>
      <c r="F58" s="68"/>
      <c r="G58" s="68"/>
      <c r="H58" s="24" t="s">
        <v>10</v>
      </c>
      <c r="I58" s="25">
        <v>46122.0</v>
      </c>
      <c r="K58" s="26" t="s">
        <v>10</v>
      </c>
      <c r="L58" s="27">
        <v>46091.0</v>
      </c>
    </row>
    <row r="59">
      <c r="A59" s="68"/>
      <c r="B59" s="68"/>
      <c r="C59" s="68"/>
      <c r="D59" s="68"/>
      <c r="E59" s="68"/>
      <c r="F59" s="68"/>
      <c r="G59" s="68"/>
      <c r="H59" s="28" t="s">
        <v>11</v>
      </c>
      <c r="I59" s="20">
        <f>B4+B5+B6+B7+B8+B9+B10+B11+B12+B13+B14+B15+B16+B17+B18+B20+B21+B22+B23+B24+B25+B26+B27+B28+B29+B30+B31+B32+B33+B34</f>
        <v>115</v>
      </c>
      <c r="K59" s="19" t="s">
        <v>11</v>
      </c>
      <c r="L59" s="20">
        <f>M4+M5+M6+M7+M8+M9+M10+M11+M12+M13+M14+M15+M16+M17+M18+M19+M20+M21+M22+M23+M24+M25+M26+M27+M28+M29+M30+M31+M32+M33+M34+M35+M36+M37+M38+M39+M40</f>
        <v>130</v>
      </c>
    </row>
    <row r="60">
      <c r="A60" s="68"/>
      <c r="B60" s="68"/>
      <c r="C60" s="68"/>
      <c r="D60" s="68"/>
      <c r="E60" s="68"/>
      <c r="F60" s="68"/>
      <c r="G60" s="68"/>
      <c r="H60" s="24" t="s">
        <v>12</v>
      </c>
      <c r="I60" s="29">
        <v>6.0</v>
      </c>
      <c r="K60" s="30" t="s">
        <v>12</v>
      </c>
      <c r="L60" s="16">
        <v>7.0</v>
      </c>
    </row>
    <row r="61">
      <c r="A61" s="68"/>
      <c r="B61" s="68"/>
      <c r="C61" s="68"/>
      <c r="D61" s="68"/>
      <c r="E61" s="68"/>
      <c r="F61" s="68"/>
      <c r="G61" s="68"/>
      <c r="H61" s="31">
        <f>I54</f>
        <v>12</v>
      </c>
      <c r="I61" s="32" t="s">
        <v>13</v>
      </c>
      <c r="J61" s="33" t="str">
        <f>IF(L55 &gt; I55, "VIUDAS DE GALLARDO", IF(I55 &gt; L55, "SOLDADO DE COUDET", "¡EMPATE HISTÓRICO!"))</f>
        <v>SOLDADO DE COUDET</v>
      </c>
      <c r="K61" s="5"/>
      <c r="L61" s="34">
        <f>L54</f>
        <v>14</v>
      </c>
    </row>
    <row r="62">
      <c r="A62" s="68"/>
      <c r="B62" s="68"/>
      <c r="C62" s="68"/>
      <c r="D62" s="68"/>
      <c r="E62" s="68"/>
      <c r="F62" s="68"/>
      <c r="G62" s="68"/>
      <c r="H62" s="35" t="str">
        <f>IFERROR(__xludf.DUMMYFUNCTION("SPARKLINE({I54, I56*1, L54}, {""charttype"", ""bar""; ""color1"", ""#202020""; ""color2"", ""#A0A0A0""; ""color3"", ""#FFFFFF""})"),"")</f>
        <v/>
      </c>
      <c r="I62" s="4"/>
      <c r="J62" s="4"/>
      <c r="K62" s="4"/>
      <c r="L62" s="5"/>
    </row>
    <row r="63">
      <c r="A63" s="68"/>
      <c r="B63" s="68"/>
      <c r="C63" s="68"/>
      <c r="D63" s="68"/>
      <c r="E63" s="68"/>
      <c r="F63" s="68"/>
      <c r="G63" s="68"/>
      <c r="H63" s="68"/>
    </row>
  </sheetData>
  <mergeCells count="18">
    <mergeCell ref="I2:K2"/>
    <mergeCell ref="I3:J3"/>
    <mergeCell ref="I4:J4"/>
    <mergeCell ref="I5:J5"/>
    <mergeCell ref="A1:S1"/>
    <mergeCell ref="A2:B2"/>
    <mergeCell ref="C2:H2"/>
    <mergeCell ref="L2:M2"/>
    <mergeCell ref="N2:S2"/>
    <mergeCell ref="I8:K8"/>
    <mergeCell ref="I7:K7"/>
    <mergeCell ref="I6:J6"/>
    <mergeCell ref="I33:K33"/>
    <mergeCell ref="H43:L53"/>
    <mergeCell ref="J61:K61"/>
    <mergeCell ref="H62:L62"/>
    <mergeCell ref="H42:L42"/>
    <mergeCell ref="I21:K21"/>
  </mergeCells>
  <conditionalFormatting sqref="J61:K61">
    <cfRule type="colorScale" priority="1">
      <colorScale>
        <cfvo type="min"/>
        <cfvo type="max"/>
        <color rgb="FFFFFFFF"/>
        <color rgb="FF57BB8A"/>
      </colorScale>
    </cfRule>
  </conditionalFormatting>
  <conditionalFormatting sqref="J61:K61">
    <cfRule type="cellIs" dxfId="0" priority="2" operator="equal">
      <formula>"VIUDAS DE GALLARDO"</formula>
    </cfRule>
  </conditionalFormatting>
  <conditionalFormatting sqref="J61:K61">
    <cfRule type="cellIs" dxfId="1" priority="3" operator="equal">
      <formula>"SOLDADO DE COUDET"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1">
      <c r="A1" s="46" t="s">
        <v>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>
      <c r="A2" s="47" t="s">
        <v>76</v>
      </c>
      <c r="B2" s="4"/>
      <c r="C2" s="48" t="s">
        <v>18</v>
      </c>
      <c r="D2" s="4"/>
      <c r="E2" s="4"/>
      <c r="F2" s="4"/>
      <c r="G2" s="4"/>
      <c r="H2" s="5"/>
      <c r="I2" s="49" t="s">
        <v>77</v>
      </c>
      <c r="J2" s="4"/>
      <c r="K2" s="5"/>
      <c r="L2" s="47" t="s">
        <v>78</v>
      </c>
      <c r="M2" s="4"/>
      <c r="N2" s="48" t="s">
        <v>20</v>
      </c>
      <c r="O2" s="4"/>
      <c r="P2" s="4"/>
      <c r="Q2" s="4"/>
      <c r="R2" s="4"/>
      <c r="S2" s="5"/>
    </row>
    <row r="3">
      <c r="A3" s="50" t="s">
        <v>79</v>
      </c>
      <c r="B3" s="51" t="s">
        <v>80</v>
      </c>
      <c r="C3" s="52" t="s">
        <v>81</v>
      </c>
      <c r="D3" s="53" t="s">
        <v>82</v>
      </c>
      <c r="E3" s="54" t="s">
        <v>83</v>
      </c>
      <c r="F3" s="55" t="s">
        <v>84</v>
      </c>
      <c r="G3" s="50" t="s">
        <v>85</v>
      </c>
      <c r="H3" s="17" t="s">
        <v>86</v>
      </c>
      <c r="I3" s="56" t="s">
        <v>87</v>
      </c>
      <c r="J3" s="5"/>
      <c r="K3" s="57" t="s">
        <v>88</v>
      </c>
      <c r="L3" s="50" t="s">
        <v>79</v>
      </c>
      <c r="M3" s="51" t="s">
        <v>80</v>
      </c>
      <c r="N3" s="52" t="s">
        <v>89</v>
      </c>
      <c r="O3" s="53" t="s">
        <v>82</v>
      </c>
      <c r="P3" s="54" t="s">
        <v>83</v>
      </c>
      <c r="Q3" s="55" t="s">
        <v>84</v>
      </c>
      <c r="R3" s="50" t="s">
        <v>85</v>
      </c>
      <c r="S3" s="17" t="s">
        <v>86</v>
      </c>
    </row>
    <row r="4">
      <c r="A4" s="58" t="s">
        <v>90</v>
      </c>
      <c r="B4" s="59">
        <v>0.0</v>
      </c>
      <c r="C4" s="60">
        <v>0.0</v>
      </c>
      <c r="D4" s="61">
        <v>0.0</v>
      </c>
      <c r="E4" s="62">
        <f t="shared" ref="E4:E18" si="1">IFERROR(B4/D4, 0)</f>
        <v>0</v>
      </c>
      <c r="F4" s="63">
        <v>0.0</v>
      </c>
      <c r="G4" s="64">
        <v>0.0</v>
      </c>
      <c r="H4" s="60">
        <f>(B4)+(C4*3)-G4-(F4*2)</f>
        <v>0</v>
      </c>
      <c r="I4" s="56" t="s">
        <v>91</v>
      </c>
      <c r="J4" s="5"/>
      <c r="K4" s="57" t="s">
        <v>92</v>
      </c>
      <c r="L4" s="58" t="s">
        <v>93</v>
      </c>
      <c r="M4" s="59">
        <v>0.0</v>
      </c>
      <c r="N4" s="60">
        <v>0.0</v>
      </c>
      <c r="O4" s="61">
        <v>0.0</v>
      </c>
      <c r="P4" s="62">
        <f t="shared" ref="P4:P40" si="2">IFERROR(M4/O4, 0)</f>
        <v>0</v>
      </c>
      <c r="Q4" s="63">
        <v>0.0</v>
      </c>
      <c r="R4" s="64">
        <v>0.0</v>
      </c>
      <c r="S4" s="60">
        <f t="shared" ref="S4:S40" si="3">(M4*1)+(N4*3)-(Q4*2)-R4</f>
        <v>0</v>
      </c>
    </row>
    <row r="5">
      <c r="A5" s="58" t="s">
        <v>17</v>
      </c>
      <c r="B5" s="59">
        <v>0.0</v>
      </c>
      <c r="C5" s="60">
        <v>0.0</v>
      </c>
      <c r="D5" s="61">
        <v>0.0</v>
      </c>
      <c r="E5" s="62">
        <f t="shared" si="1"/>
        <v>0</v>
      </c>
      <c r="F5" s="63">
        <v>0.0</v>
      </c>
      <c r="G5" s="64">
        <v>0.0</v>
      </c>
      <c r="H5" s="60">
        <f t="shared" ref="H5:H40" si="4">(B5*1)+(C5*3)-(F5*2)-G5</f>
        <v>0</v>
      </c>
      <c r="I5" s="56" t="s">
        <v>94</v>
      </c>
      <c r="J5" s="5"/>
      <c r="K5" s="57" t="s">
        <v>95</v>
      </c>
      <c r="L5" s="58" t="s">
        <v>19</v>
      </c>
      <c r="M5" s="59">
        <v>0.0</v>
      </c>
      <c r="N5" s="60">
        <v>0.0</v>
      </c>
      <c r="O5" s="61">
        <v>0.0</v>
      </c>
      <c r="P5" s="62">
        <f t="shared" si="2"/>
        <v>0</v>
      </c>
      <c r="Q5" s="63">
        <v>0.0</v>
      </c>
      <c r="R5" s="64">
        <v>0.0</v>
      </c>
      <c r="S5" s="60">
        <f t="shared" si="3"/>
        <v>0</v>
      </c>
    </row>
    <row r="6">
      <c r="A6" s="58" t="s">
        <v>21</v>
      </c>
      <c r="B6" s="59">
        <v>0.0</v>
      </c>
      <c r="C6" s="60">
        <v>0.0</v>
      </c>
      <c r="D6" s="61">
        <v>0.0</v>
      </c>
      <c r="E6" s="62">
        <f t="shared" si="1"/>
        <v>0</v>
      </c>
      <c r="F6" s="63">
        <v>0.0</v>
      </c>
      <c r="G6" s="64">
        <v>0.0</v>
      </c>
      <c r="H6" s="60">
        <f t="shared" si="4"/>
        <v>0</v>
      </c>
      <c r="I6" s="56" t="s">
        <v>96</v>
      </c>
      <c r="J6" s="5"/>
      <c r="K6" s="57" t="s">
        <v>97</v>
      </c>
      <c r="L6" s="58" t="s">
        <v>22</v>
      </c>
      <c r="M6" s="59">
        <v>0.0</v>
      </c>
      <c r="N6" s="60">
        <v>0.0</v>
      </c>
      <c r="O6" s="61">
        <v>0.0</v>
      </c>
      <c r="P6" s="62">
        <f t="shared" si="2"/>
        <v>0</v>
      </c>
      <c r="Q6" s="63">
        <v>0.0</v>
      </c>
      <c r="R6" s="64">
        <v>0.0</v>
      </c>
      <c r="S6" s="60">
        <f t="shared" si="3"/>
        <v>0</v>
      </c>
    </row>
    <row r="7">
      <c r="A7" s="58" t="s">
        <v>23</v>
      </c>
      <c r="B7" s="59">
        <v>0.0</v>
      </c>
      <c r="C7" s="60">
        <v>0.0</v>
      </c>
      <c r="D7" s="61">
        <v>0.0</v>
      </c>
      <c r="E7" s="62">
        <f t="shared" si="1"/>
        <v>0</v>
      </c>
      <c r="F7" s="63">
        <v>0.0</v>
      </c>
      <c r="G7" s="64">
        <v>0.0</v>
      </c>
      <c r="H7" s="60">
        <f t="shared" si="4"/>
        <v>0</v>
      </c>
      <c r="L7" s="58" t="s">
        <v>24</v>
      </c>
      <c r="M7" s="59">
        <v>0.0</v>
      </c>
      <c r="N7" s="60">
        <v>0.0</v>
      </c>
      <c r="O7" s="61">
        <v>0.0</v>
      </c>
      <c r="P7" s="62">
        <f t="shared" si="2"/>
        <v>0</v>
      </c>
      <c r="Q7" s="63">
        <v>0.0</v>
      </c>
      <c r="R7" s="64">
        <v>0.0</v>
      </c>
      <c r="S7" s="60">
        <f t="shared" si="3"/>
        <v>0</v>
      </c>
    </row>
    <row r="8">
      <c r="A8" s="58" t="s">
        <v>25</v>
      </c>
      <c r="B8" s="59">
        <v>0.0</v>
      </c>
      <c r="C8" s="60">
        <v>0.0</v>
      </c>
      <c r="D8" s="61">
        <v>0.0</v>
      </c>
      <c r="E8" s="62">
        <f t="shared" si="1"/>
        <v>0</v>
      </c>
      <c r="F8" s="63">
        <v>0.0</v>
      </c>
      <c r="G8" s="64">
        <v>0.0</v>
      </c>
      <c r="H8" s="60">
        <f t="shared" si="4"/>
        <v>0</v>
      </c>
      <c r="I8" s="36" t="s">
        <v>98</v>
      </c>
      <c r="J8" s="4"/>
      <c r="K8" s="5"/>
      <c r="L8" s="58" t="s">
        <v>26</v>
      </c>
      <c r="M8" s="59">
        <v>0.0</v>
      </c>
      <c r="N8" s="60">
        <v>0.0</v>
      </c>
      <c r="O8" s="61">
        <v>0.0</v>
      </c>
      <c r="P8" s="62">
        <f t="shared" si="2"/>
        <v>0</v>
      </c>
      <c r="Q8" s="63">
        <v>0.0</v>
      </c>
      <c r="R8" s="64">
        <v>0.0</v>
      </c>
      <c r="S8" s="60">
        <f t="shared" si="3"/>
        <v>0</v>
      </c>
    </row>
    <row r="9">
      <c r="A9" s="58" t="s">
        <v>27</v>
      </c>
      <c r="B9" s="59">
        <v>0.0</v>
      </c>
      <c r="C9" s="60">
        <v>0.0</v>
      </c>
      <c r="D9" s="61">
        <v>0.0</v>
      </c>
      <c r="E9" s="62">
        <f t="shared" si="1"/>
        <v>0</v>
      </c>
      <c r="F9" s="63">
        <v>0.0</v>
      </c>
      <c r="G9" s="64">
        <v>0.0</v>
      </c>
      <c r="H9" s="60">
        <f t="shared" si="4"/>
        <v>0</v>
      </c>
      <c r="I9" s="50" t="s">
        <v>99</v>
      </c>
      <c r="J9" s="50" t="s">
        <v>100</v>
      </c>
      <c r="K9" s="50" t="s">
        <v>3</v>
      </c>
      <c r="L9" s="58" t="s">
        <v>28</v>
      </c>
      <c r="M9" s="59">
        <v>0.0</v>
      </c>
      <c r="N9" s="60">
        <v>0.0</v>
      </c>
      <c r="O9" s="61">
        <v>0.0</v>
      </c>
      <c r="P9" s="62">
        <f t="shared" si="2"/>
        <v>0</v>
      </c>
      <c r="Q9" s="63">
        <v>0.0</v>
      </c>
      <c r="R9" s="64">
        <v>0.0</v>
      </c>
      <c r="S9" s="60">
        <f t="shared" si="3"/>
        <v>0</v>
      </c>
    </row>
    <row r="10">
      <c r="A10" s="58" t="s">
        <v>29</v>
      </c>
      <c r="B10" s="59">
        <v>0.0</v>
      </c>
      <c r="C10" s="60">
        <v>0.0</v>
      </c>
      <c r="D10" s="61">
        <v>0.0</v>
      </c>
      <c r="E10" s="62">
        <f t="shared" si="1"/>
        <v>0</v>
      </c>
      <c r="F10" s="63">
        <v>0.0</v>
      </c>
      <c r="G10" s="64">
        <v>0.0</v>
      </c>
      <c r="H10" s="60">
        <f t="shared" si="4"/>
        <v>0</v>
      </c>
      <c r="I10" s="53" t="str">
        <f>IFERROR(__xludf.DUMMYFUNCTION("IFERROR(SORTN(FILTER({A4:A40, H4:H40, IF(A4:A40="""", """", C2); L4:L40, S4:S40, IF(L4:L40="""", """", N2)}, {H4:H40; S4:S40} &gt; 0), 10, 0, 2, FALSE), """")"),"")</f>
        <v/>
      </c>
      <c r="J10" s="53"/>
      <c r="K10" s="65"/>
      <c r="L10" s="58" t="s">
        <v>30</v>
      </c>
      <c r="M10" s="59">
        <v>0.0</v>
      </c>
      <c r="N10" s="60">
        <v>0.0</v>
      </c>
      <c r="O10" s="61">
        <v>0.0</v>
      </c>
      <c r="P10" s="62">
        <f t="shared" si="2"/>
        <v>0</v>
      </c>
      <c r="Q10" s="63">
        <v>0.0</v>
      </c>
      <c r="R10" s="64">
        <v>0.0</v>
      </c>
      <c r="S10" s="60">
        <f t="shared" si="3"/>
        <v>0</v>
      </c>
    </row>
    <row r="11">
      <c r="A11" s="58" t="s">
        <v>31</v>
      </c>
      <c r="B11" s="59">
        <v>0.0</v>
      </c>
      <c r="C11" s="60">
        <v>0.0</v>
      </c>
      <c r="D11" s="61">
        <v>0.0</v>
      </c>
      <c r="E11" s="62">
        <f t="shared" si="1"/>
        <v>0</v>
      </c>
      <c r="F11" s="63">
        <v>0.0</v>
      </c>
      <c r="G11" s="64">
        <v>0.0</v>
      </c>
      <c r="H11" s="60">
        <f t="shared" si="4"/>
        <v>0</v>
      </c>
      <c r="I11" s="53"/>
      <c r="J11" s="53"/>
      <c r="K11" s="65"/>
      <c r="L11" s="58" t="s">
        <v>32</v>
      </c>
      <c r="M11" s="59">
        <v>0.0</v>
      </c>
      <c r="N11" s="60">
        <v>0.0</v>
      </c>
      <c r="O11" s="61">
        <v>0.0</v>
      </c>
      <c r="P11" s="62">
        <f t="shared" si="2"/>
        <v>0</v>
      </c>
      <c r="Q11" s="63">
        <v>0.0</v>
      </c>
      <c r="R11" s="64">
        <v>0.0</v>
      </c>
      <c r="S11" s="60">
        <f t="shared" si="3"/>
        <v>0</v>
      </c>
    </row>
    <row r="12">
      <c r="A12" s="58" t="s">
        <v>33</v>
      </c>
      <c r="B12" s="59">
        <v>0.0</v>
      </c>
      <c r="C12" s="60">
        <v>0.0</v>
      </c>
      <c r="D12" s="61">
        <v>0.0</v>
      </c>
      <c r="E12" s="62">
        <f t="shared" si="1"/>
        <v>0</v>
      </c>
      <c r="F12" s="63">
        <v>0.0</v>
      </c>
      <c r="G12" s="64">
        <v>0.0</v>
      </c>
      <c r="H12" s="60">
        <f t="shared" si="4"/>
        <v>0</v>
      </c>
      <c r="I12" s="53"/>
      <c r="J12" s="53"/>
      <c r="K12" s="65"/>
      <c r="L12" s="58" t="s">
        <v>34</v>
      </c>
      <c r="M12" s="59">
        <v>0.0</v>
      </c>
      <c r="N12" s="60">
        <v>0.0</v>
      </c>
      <c r="O12" s="61">
        <v>0.0</v>
      </c>
      <c r="P12" s="62">
        <f t="shared" si="2"/>
        <v>0</v>
      </c>
      <c r="Q12" s="63">
        <v>0.0</v>
      </c>
      <c r="R12" s="64">
        <v>0.0</v>
      </c>
      <c r="S12" s="60">
        <f t="shared" si="3"/>
        <v>0</v>
      </c>
    </row>
    <row r="13">
      <c r="A13" s="58" t="s">
        <v>35</v>
      </c>
      <c r="B13" s="59">
        <v>0.0</v>
      </c>
      <c r="C13" s="60">
        <v>0.0</v>
      </c>
      <c r="D13" s="61">
        <v>0.0</v>
      </c>
      <c r="E13" s="62">
        <f t="shared" si="1"/>
        <v>0</v>
      </c>
      <c r="F13" s="63">
        <v>0.0</v>
      </c>
      <c r="G13" s="64">
        <v>0.0</v>
      </c>
      <c r="H13" s="60">
        <f t="shared" si="4"/>
        <v>0</v>
      </c>
      <c r="I13" s="53"/>
      <c r="J13" s="53"/>
      <c r="K13" s="65"/>
      <c r="L13" s="58" t="s">
        <v>36</v>
      </c>
      <c r="M13" s="59">
        <v>0.0</v>
      </c>
      <c r="N13" s="60">
        <v>0.0</v>
      </c>
      <c r="O13" s="61">
        <v>0.0</v>
      </c>
      <c r="P13" s="62">
        <f t="shared" si="2"/>
        <v>0</v>
      </c>
      <c r="Q13" s="63">
        <v>0.0</v>
      </c>
      <c r="R13" s="64">
        <v>0.0</v>
      </c>
      <c r="S13" s="60">
        <f t="shared" si="3"/>
        <v>0</v>
      </c>
    </row>
    <row r="14">
      <c r="A14" s="58" t="s">
        <v>37</v>
      </c>
      <c r="B14" s="59">
        <v>0.0</v>
      </c>
      <c r="C14" s="60">
        <v>0.0</v>
      </c>
      <c r="D14" s="61">
        <v>0.0</v>
      </c>
      <c r="E14" s="62">
        <f t="shared" si="1"/>
        <v>0</v>
      </c>
      <c r="F14" s="63">
        <v>0.0</v>
      </c>
      <c r="G14" s="64">
        <v>0.0</v>
      </c>
      <c r="H14" s="60">
        <f t="shared" si="4"/>
        <v>0</v>
      </c>
      <c r="I14" s="53"/>
      <c r="J14" s="53"/>
      <c r="K14" s="65"/>
      <c r="L14" s="58" t="s">
        <v>38</v>
      </c>
      <c r="M14" s="59">
        <v>0.0</v>
      </c>
      <c r="N14" s="60">
        <v>0.0</v>
      </c>
      <c r="O14" s="61">
        <v>0.0</v>
      </c>
      <c r="P14" s="62">
        <f t="shared" si="2"/>
        <v>0</v>
      </c>
      <c r="Q14" s="63">
        <v>0.0</v>
      </c>
      <c r="R14" s="64">
        <v>0.0</v>
      </c>
      <c r="S14" s="60">
        <f t="shared" si="3"/>
        <v>0</v>
      </c>
    </row>
    <row r="15">
      <c r="A15" s="58" t="s">
        <v>39</v>
      </c>
      <c r="B15" s="59">
        <v>0.0</v>
      </c>
      <c r="C15" s="60">
        <v>0.0</v>
      </c>
      <c r="D15" s="61">
        <v>0.0</v>
      </c>
      <c r="E15" s="62">
        <f t="shared" si="1"/>
        <v>0</v>
      </c>
      <c r="F15" s="63">
        <v>0.0</v>
      </c>
      <c r="G15" s="64">
        <v>0.0</v>
      </c>
      <c r="H15" s="60">
        <f t="shared" si="4"/>
        <v>0</v>
      </c>
      <c r="I15" s="53"/>
      <c r="J15" s="53"/>
      <c r="K15" s="65"/>
      <c r="L15" s="58" t="s">
        <v>40</v>
      </c>
      <c r="M15" s="59">
        <v>0.0</v>
      </c>
      <c r="N15" s="60">
        <v>0.0</v>
      </c>
      <c r="O15" s="61">
        <v>0.0</v>
      </c>
      <c r="P15" s="62">
        <f t="shared" si="2"/>
        <v>0</v>
      </c>
      <c r="Q15" s="63">
        <v>0.0</v>
      </c>
      <c r="R15" s="64">
        <v>0.0</v>
      </c>
      <c r="S15" s="60">
        <f t="shared" si="3"/>
        <v>0</v>
      </c>
    </row>
    <row r="16">
      <c r="A16" s="58" t="s">
        <v>41</v>
      </c>
      <c r="B16" s="59">
        <v>0.0</v>
      </c>
      <c r="C16" s="60">
        <v>0.0</v>
      </c>
      <c r="D16" s="61">
        <v>0.0</v>
      </c>
      <c r="E16" s="62">
        <f t="shared" si="1"/>
        <v>0</v>
      </c>
      <c r="F16" s="63">
        <v>0.0</v>
      </c>
      <c r="G16" s="64">
        <v>0.0</v>
      </c>
      <c r="H16" s="60">
        <f t="shared" si="4"/>
        <v>0</v>
      </c>
      <c r="I16" s="53"/>
      <c r="J16" s="53"/>
      <c r="K16" s="65"/>
      <c r="L16" s="58" t="s">
        <v>39</v>
      </c>
      <c r="M16" s="59">
        <v>0.0</v>
      </c>
      <c r="N16" s="60">
        <v>0.0</v>
      </c>
      <c r="O16" s="61">
        <v>0.0</v>
      </c>
      <c r="P16" s="62">
        <f t="shared" si="2"/>
        <v>0</v>
      </c>
      <c r="Q16" s="63">
        <v>0.0</v>
      </c>
      <c r="R16" s="64">
        <v>0.0</v>
      </c>
      <c r="S16" s="60">
        <f t="shared" si="3"/>
        <v>0</v>
      </c>
    </row>
    <row r="17">
      <c r="A17" s="58" t="s">
        <v>42</v>
      </c>
      <c r="B17" s="59">
        <v>0.0</v>
      </c>
      <c r="C17" s="60">
        <v>0.0</v>
      </c>
      <c r="D17" s="61">
        <v>0.0</v>
      </c>
      <c r="E17" s="62">
        <f t="shared" si="1"/>
        <v>0</v>
      </c>
      <c r="F17" s="63">
        <v>0.0</v>
      </c>
      <c r="G17" s="64">
        <v>0.0</v>
      </c>
      <c r="H17" s="60">
        <f t="shared" si="4"/>
        <v>0</v>
      </c>
      <c r="I17" s="53"/>
      <c r="J17" s="53"/>
      <c r="K17" s="65"/>
      <c r="L17" s="58" t="s">
        <v>37</v>
      </c>
      <c r="M17" s="59">
        <v>0.0</v>
      </c>
      <c r="N17" s="60">
        <v>0.0</v>
      </c>
      <c r="O17" s="61">
        <v>0.0</v>
      </c>
      <c r="P17" s="62">
        <f t="shared" si="2"/>
        <v>0</v>
      </c>
      <c r="Q17" s="63">
        <v>0.0</v>
      </c>
      <c r="R17" s="64">
        <v>0.0</v>
      </c>
      <c r="S17" s="60">
        <f t="shared" si="3"/>
        <v>0</v>
      </c>
    </row>
    <row r="18">
      <c r="A18" s="58" t="s">
        <v>43</v>
      </c>
      <c r="B18" s="59">
        <v>0.0</v>
      </c>
      <c r="C18" s="60">
        <v>0.0</v>
      </c>
      <c r="D18" s="61">
        <v>0.0</v>
      </c>
      <c r="E18" s="62">
        <f t="shared" si="1"/>
        <v>0</v>
      </c>
      <c r="F18" s="63">
        <v>0.0</v>
      </c>
      <c r="G18" s="64">
        <v>0.0</v>
      </c>
      <c r="H18" s="60">
        <f t="shared" si="4"/>
        <v>0</v>
      </c>
      <c r="I18" s="53"/>
      <c r="J18" s="53"/>
      <c r="K18" s="65"/>
      <c r="L18" s="58" t="s">
        <v>44</v>
      </c>
      <c r="M18" s="59">
        <v>0.0</v>
      </c>
      <c r="N18" s="60">
        <v>0.0</v>
      </c>
      <c r="O18" s="61">
        <v>0.0</v>
      </c>
      <c r="P18" s="62">
        <f t="shared" si="2"/>
        <v>0</v>
      </c>
      <c r="Q18" s="63">
        <v>0.0</v>
      </c>
      <c r="R18" s="64">
        <v>0.0</v>
      </c>
      <c r="S18" s="60">
        <f t="shared" si="3"/>
        <v>0</v>
      </c>
    </row>
    <row r="19">
      <c r="A19" s="58" t="s">
        <v>45</v>
      </c>
      <c r="B19" s="59">
        <v>0.0</v>
      </c>
      <c r="C19" s="60">
        <v>0.0</v>
      </c>
      <c r="D19" s="61">
        <v>0.0</v>
      </c>
      <c r="E19" s="66" t="str">
        <f>B19/D19</f>
        <v>#DIV/0!</v>
      </c>
      <c r="F19" s="63">
        <v>0.0</v>
      </c>
      <c r="G19" s="64">
        <v>0.0</v>
      </c>
      <c r="H19" s="60">
        <f t="shared" si="4"/>
        <v>0</v>
      </c>
      <c r="I19" s="53"/>
      <c r="J19" s="53"/>
      <c r="K19" s="65"/>
      <c r="L19" s="58" t="s">
        <v>46</v>
      </c>
      <c r="M19" s="59">
        <v>0.0</v>
      </c>
      <c r="N19" s="60">
        <v>0.0</v>
      </c>
      <c r="O19" s="61">
        <v>0.0</v>
      </c>
      <c r="P19" s="62">
        <f t="shared" si="2"/>
        <v>0</v>
      </c>
      <c r="Q19" s="63">
        <v>0.0</v>
      </c>
      <c r="R19" s="64">
        <v>0.0</v>
      </c>
      <c r="S19" s="60">
        <f t="shared" si="3"/>
        <v>0</v>
      </c>
    </row>
    <row r="20">
      <c r="A20" s="58" t="s">
        <v>47</v>
      </c>
      <c r="B20" s="59">
        <v>0.0</v>
      </c>
      <c r="C20" s="60">
        <v>0.0</v>
      </c>
      <c r="D20" s="61">
        <v>0.0</v>
      </c>
      <c r="E20" s="62">
        <f t="shared" ref="E20:E23" si="5">IFERROR(B20/D20, 0)</f>
        <v>0</v>
      </c>
      <c r="F20" s="63">
        <v>0.0</v>
      </c>
      <c r="G20" s="64">
        <v>0.0</v>
      </c>
      <c r="H20" s="60">
        <f t="shared" si="4"/>
        <v>0</v>
      </c>
      <c r="I20" s="67"/>
      <c r="L20" s="58" t="s">
        <v>48</v>
      </c>
      <c r="M20" s="59">
        <v>0.0</v>
      </c>
      <c r="N20" s="60">
        <v>0.0</v>
      </c>
      <c r="O20" s="61">
        <v>0.0</v>
      </c>
      <c r="P20" s="62">
        <f t="shared" si="2"/>
        <v>0</v>
      </c>
      <c r="Q20" s="63">
        <v>0.0</v>
      </c>
      <c r="R20" s="64">
        <v>0.0</v>
      </c>
      <c r="S20" s="60">
        <f t="shared" si="3"/>
        <v>0</v>
      </c>
    </row>
    <row r="21">
      <c r="A21" s="58" t="s">
        <v>49</v>
      </c>
      <c r="B21" s="59">
        <v>0.0</v>
      </c>
      <c r="C21" s="60">
        <v>0.0</v>
      </c>
      <c r="D21" s="61">
        <v>0.0</v>
      </c>
      <c r="E21" s="62">
        <f t="shared" si="5"/>
        <v>0</v>
      </c>
      <c r="F21" s="63">
        <v>0.0</v>
      </c>
      <c r="G21" s="64">
        <v>0.0</v>
      </c>
      <c r="H21" s="60">
        <f t="shared" si="4"/>
        <v>0</v>
      </c>
      <c r="I21" s="3" t="s">
        <v>101</v>
      </c>
      <c r="J21" s="4"/>
      <c r="K21" s="5"/>
      <c r="L21" s="58" t="s">
        <v>50</v>
      </c>
      <c r="M21" s="59">
        <v>0.0</v>
      </c>
      <c r="N21" s="60">
        <v>0.0</v>
      </c>
      <c r="O21" s="61">
        <v>0.0</v>
      </c>
      <c r="P21" s="62">
        <f t="shared" si="2"/>
        <v>0</v>
      </c>
      <c r="Q21" s="63">
        <v>0.0</v>
      </c>
      <c r="R21" s="64">
        <v>0.0</v>
      </c>
      <c r="S21" s="60">
        <f t="shared" si="3"/>
        <v>0</v>
      </c>
    </row>
    <row r="22">
      <c r="A22" s="58" t="s">
        <v>50</v>
      </c>
      <c r="B22" s="59">
        <v>0.0</v>
      </c>
      <c r="C22" s="60">
        <v>0.0</v>
      </c>
      <c r="D22" s="61">
        <v>0.0</v>
      </c>
      <c r="E22" s="62">
        <f t="shared" si="5"/>
        <v>0</v>
      </c>
      <c r="F22" s="63"/>
      <c r="G22" s="64">
        <v>0.0</v>
      </c>
      <c r="H22" s="60">
        <f t="shared" si="4"/>
        <v>0</v>
      </c>
      <c r="I22" s="7" t="s">
        <v>1</v>
      </c>
      <c r="J22" s="7" t="s">
        <v>2</v>
      </c>
      <c r="K22" s="8" t="s">
        <v>3</v>
      </c>
      <c r="L22" s="58" t="s">
        <v>51</v>
      </c>
      <c r="M22" s="59">
        <v>0.0</v>
      </c>
      <c r="N22" s="60">
        <v>0.0</v>
      </c>
      <c r="O22" s="61">
        <v>0.0</v>
      </c>
      <c r="P22" s="62">
        <f t="shared" si="2"/>
        <v>0</v>
      </c>
      <c r="Q22" s="63">
        <v>0.0</v>
      </c>
      <c r="R22" s="64">
        <v>0.0</v>
      </c>
      <c r="S22" s="60">
        <f t="shared" si="3"/>
        <v>0</v>
      </c>
    </row>
    <row r="23">
      <c r="A23" s="58" t="s">
        <v>52</v>
      </c>
      <c r="B23" s="59">
        <v>0.0</v>
      </c>
      <c r="C23" s="60">
        <v>0.0</v>
      </c>
      <c r="D23" s="61">
        <v>0.0</v>
      </c>
      <c r="E23" s="62">
        <f t="shared" si="5"/>
        <v>0</v>
      </c>
      <c r="F23" s="63">
        <v>0.0</v>
      </c>
      <c r="G23" s="64">
        <v>0.0</v>
      </c>
      <c r="H23" s="60">
        <f t="shared" si="4"/>
        <v>0</v>
      </c>
      <c r="I23" s="10" t="str">
        <f>IFERROR(__xludf.DUMMYFUNCTION("IFERROR(SORTN(FILTER({A4:A50, B4:B50, IF(A4:A50="""", """", C2); L4:L50, M4:M50, IF(L4:L50="""", """", N2)}, {B4:B50; M4:M50} &gt; 0), 10, 0, 2, FALSE), """")"),"")</f>
        <v/>
      </c>
      <c r="J23" s="10"/>
      <c r="K23" s="11"/>
      <c r="L23" s="58" t="s">
        <v>53</v>
      </c>
      <c r="M23" s="59">
        <v>0.0</v>
      </c>
      <c r="N23" s="60">
        <v>0.0</v>
      </c>
      <c r="O23" s="61">
        <v>0.0</v>
      </c>
      <c r="P23" s="62">
        <f t="shared" si="2"/>
        <v>0</v>
      </c>
      <c r="Q23" s="63">
        <v>0.0</v>
      </c>
      <c r="R23" s="64">
        <v>0.0</v>
      </c>
      <c r="S23" s="60">
        <f t="shared" si="3"/>
        <v>0</v>
      </c>
    </row>
    <row r="24">
      <c r="A24" s="58" t="s">
        <v>54</v>
      </c>
      <c r="B24" s="59">
        <v>0.0</v>
      </c>
      <c r="C24" s="60">
        <v>0.0</v>
      </c>
      <c r="D24" s="61">
        <v>0.0</v>
      </c>
      <c r="E24" s="62" t="str">
        <f>B24/D24</f>
        <v>#DIV/0!</v>
      </c>
      <c r="F24" s="63">
        <v>0.0</v>
      </c>
      <c r="G24" s="64">
        <v>0.0</v>
      </c>
      <c r="H24" s="60">
        <f t="shared" si="4"/>
        <v>0</v>
      </c>
      <c r="I24" s="10"/>
      <c r="J24" s="10"/>
      <c r="K24" s="11"/>
      <c r="L24" s="58" t="s">
        <v>55</v>
      </c>
      <c r="M24" s="59">
        <v>0.0</v>
      </c>
      <c r="N24" s="60">
        <v>0.0</v>
      </c>
      <c r="O24" s="61">
        <v>0.0</v>
      </c>
      <c r="P24" s="62">
        <f t="shared" si="2"/>
        <v>0</v>
      </c>
      <c r="Q24" s="63">
        <v>0.0</v>
      </c>
      <c r="R24" s="64">
        <v>0.0</v>
      </c>
      <c r="S24" s="60">
        <f t="shared" si="3"/>
        <v>0</v>
      </c>
      <c r="U24" s="68"/>
      <c r="V24" s="68"/>
      <c r="W24" s="68"/>
      <c r="X24" s="69"/>
      <c r="Y24" s="69"/>
    </row>
    <row r="25">
      <c r="A25" s="58" t="s">
        <v>56</v>
      </c>
      <c r="B25" s="59">
        <v>0.0</v>
      </c>
      <c r="C25" s="60">
        <v>0.0</v>
      </c>
      <c r="D25" s="61">
        <v>0.0</v>
      </c>
      <c r="E25" s="62">
        <f t="shared" ref="E25:E28" si="6">IFERROR(B25/D25, 0)</f>
        <v>0</v>
      </c>
      <c r="F25" s="63">
        <v>0.0</v>
      </c>
      <c r="G25" s="64">
        <v>0.0</v>
      </c>
      <c r="H25" s="60">
        <f t="shared" si="4"/>
        <v>0</v>
      </c>
      <c r="I25" s="10"/>
      <c r="J25" s="10"/>
      <c r="K25" s="11"/>
      <c r="L25" s="58" t="s">
        <v>57</v>
      </c>
      <c r="M25" s="59">
        <v>0.0</v>
      </c>
      <c r="N25" s="60">
        <v>0.0</v>
      </c>
      <c r="O25" s="61">
        <v>0.0</v>
      </c>
      <c r="P25" s="62">
        <f t="shared" si="2"/>
        <v>0</v>
      </c>
      <c r="Q25" s="63">
        <v>0.0</v>
      </c>
      <c r="R25" s="64">
        <v>0.0</v>
      </c>
      <c r="S25" s="60">
        <f t="shared" si="3"/>
        <v>0</v>
      </c>
      <c r="U25" s="68"/>
      <c r="V25" s="68"/>
      <c r="W25" s="70"/>
      <c r="X25" s="69"/>
      <c r="Y25" s="69"/>
    </row>
    <row r="26">
      <c r="A26" s="58" t="s">
        <v>58</v>
      </c>
      <c r="B26" s="59">
        <v>0.0</v>
      </c>
      <c r="C26" s="60">
        <v>0.0</v>
      </c>
      <c r="D26" s="61">
        <v>0.0</v>
      </c>
      <c r="E26" s="62">
        <f t="shared" si="6"/>
        <v>0</v>
      </c>
      <c r="F26" s="63">
        <v>0.0</v>
      </c>
      <c r="G26" s="64">
        <v>0.0</v>
      </c>
      <c r="H26" s="60">
        <f t="shared" si="4"/>
        <v>0</v>
      </c>
      <c r="I26" s="10"/>
      <c r="J26" s="10"/>
      <c r="K26" s="11"/>
      <c r="L26" s="58" t="s">
        <v>59</v>
      </c>
      <c r="M26" s="59">
        <v>0.0</v>
      </c>
      <c r="N26" s="60">
        <v>0.0</v>
      </c>
      <c r="O26" s="61">
        <v>0.0</v>
      </c>
      <c r="P26" s="62">
        <f t="shared" si="2"/>
        <v>0</v>
      </c>
      <c r="Q26" s="63">
        <v>0.0</v>
      </c>
      <c r="R26" s="64">
        <v>0.0</v>
      </c>
      <c r="S26" s="60">
        <f t="shared" si="3"/>
        <v>0</v>
      </c>
      <c r="U26" s="68"/>
      <c r="V26" s="68"/>
      <c r="W26" s="9"/>
    </row>
    <row r="27">
      <c r="A27" s="58" t="s">
        <v>60</v>
      </c>
      <c r="B27" s="59">
        <v>0.0</v>
      </c>
      <c r="C27" s="60">
        <v>0.0</v>
      </c>
      <c r="D27" s="61">
        <v>0.0</v>
      </c>
      <c r="E27" s="62">
        <f t="shared" si="6"/>
        <v>0</v>
      </c>
      <c r="F27" s="63">
        <v>0.0</v>
      </c>
      <c r="G27" s="64">
        <v>0.0</v>
      </c>
      <c r="H27" s="60">
        <f t="shared" si="4"/>
        <v>0</v>
      </c>
      <c r="I27" s="12"/>
      <c r="J27" s="10"/>
      <c r="K27" s="11"/>
      <c r="L27" s="58" t="s">
        <v>61</v>
      </c>
      <c r="M27" s="59">
        <v>0.0</v>
      </c>
      <c r="N27" s="60">
        <v>0.0</v>
      </c>
      <c r="O27" s="61">
        <v>0.0</v>
      </c>
      <c r="P27" s="62">
        <f t="shared" si="2"/>
        <v>0</v>
      </c>
      <c r="Q27" s="63">
        <v>0.0</v>
      </c>
      <c r="R27" s="64">
        <v>0.0</v>
      </c>
      <c r="S27" s="60">
        <f t="shared" si="3"/>
        <v>0</v>
      </c>
      <c r="U27" s="68"/>
      <c r="V27" s="68"/>
      <c r="W27" s="9"/>
    </row>
    <row r="28">
      <c r="A28" s="58" t="s">
        <v>62</v>
      </c>
      <c r="B28" s="59">
        <v>0.0</v>
      </c>
      <c r="C28" s="60">
        <v>0.0</v>
      </c>
      <c r="D28" s="61">
        <v>0.0</v>
      </c>
      <c r="E28" s="62">
        <f t="shared" si="6"/>
        <v>0</v>
      </c>
      <c r="F28" s="63">
        <v>0.0</v>
      </c>
      <c r="G28" s="64">
        <v>0.0</v>
      </c>
      <c r="H28" s="60">
        <f t="shared" si="4"/>
        <v>0</v>
      </c>
      <c r="I28" s="12"/>
      <c r="J28" s="10"/>
      <c r="K28" s="11"/>
      <c r="L28" s="58" t="s">
        <v>21</v>
      </c>
      <c r="M28" s="59">
        <v>0.0</v>
      </c>
      <c r="N28" s="60">
        <v>0.0</v>
      </c>
      <c r="O28" s="61">
        <v>0.0</v>
      </c>
      <c r="P28" s="62">
        <f t="shared" si="2"/>
        <v>0</v>
      </c>
      <c r="Q28" s="63">
        <v>0.0</v>
      </c>
      <c r="R28" s="64">
        <v>0.0</v>
      </c>
      <c r="S28" s="60">
        <f t="shared" si="3"/>
        <v>0</v>
      </c>
      <c r="U28" s="68"/>
      <c r="V28" s="68"/>
      <c r="W28" s="9"/>
    </row>
    <row r="29">
      <c r="A29" s="58" t="s">
        <v>63</v>
      </c>
      <c r="B29" s="59">
        <v>0.0</v>
      </c>
      <c r="C29" s="60">
        <v>0.0</v>
      </c>
      <c r="D29" s="61">
        <v>0.0</v>
      </c>
      <c r="E29" s="62" t="str">
        <f>B29/D29</f>
        <v>#DIV/0!</v>
      </c>
      <c r="F29" s="63">
        <v>0.0</v>
      </c>
      <c r="G29" s="64">
        <v>0.0</v>
      </c>
      <c r="H29" s="60">
        <f t="shared" si="4"/>
        <v>0</v>
      </c>
      <c r="I29" s="10"/>
      <c r="J29" s="10"/>
      <c r="K29" s="11"/>
      <c r="L29" s="58" t="s">
        <v>52</v>
      </c>
      <c r="M29" s="59">
        <v>0.0</v>
      </c>
      <c r="N29" s="60">
        <v>0.0</v>
      </c>
      <c r="O29" s="61">
        <v>0.0</v>
      </c>
      <c r="P29" s="62">
        <f t="shared" si="2"/>
        <v>0</v>
      </c>
      <c r="Q29" s="63">
        <v>0.0</v>
      </c>
      <c r="R29" s="64">
        <v>0.0</v>
      </c>
      <c r="S29" s="60">
        <f t="shared" si="3"/>
        <v>0</v>
      </c>
      <c r="U29" s="68"/>
      <c r="V29" s="68"/>
      <c r="W29" s="9"/>
    </row>
    <row r="30">
      <c r="A30" s="58" t="s">
        <v>64</v>
      </c>
      <c r="B30" s="59">
        <v>0.0</v>
      </c>
      <c r="C30" s="60">
        <v>0.0</v>
      </c>
      <c r="D30" s="61">
        <v>0.0</v>
      </c>
      <c r="E30" s="62">
        <f t="shared" ref="E30:E32" si="7">IFERROR(B30/D30, 0)</f>
        <v>0</v>
      </c>
      <c r="F30" s="63">
        <v>0.0</v>
      </c>
      <c r="G30" s="64">
        <v>0.0</v>
      </c>
      <c r="H30" s="60">
        <f t="shared" si="4"/>
        <v>0</v>
      </c>
      <c r="I30" s="10"/>
      <c r="J30" s="10"/>
      <c r="K30" s="11"/>
      <c r="L30" s="58" t="s">
        <v>65</v>
      </c>
      <c r="M30" s="59">
        <v>0.0</v>
      </c>
      <c r="N30" s="60">
        <v>0.0</v>
      </c>
      <c r="O30" s="61">
        <v>0.0</v>
      </c>
      <c r="P30" s="62">
        <f t="shared" si="2"/>
        <v>0</v>
      </c>
      <c r="Q30" s="63">
        <v>0.0</v>
      </c>
      <c r="R30" s="64">
        <v>0.0</v>
      </c>
      <c r="S30" s="60">
        <f t="shared" si="3"/>
        <v>0</v>
      </c>
      <c r="V30" s="9"/>
      <c r="W30" s="9"/>
    </row>
    <row r="31">
      <c r="A31" s="58" t="s">
        <v>66</v>
      </c>
      <c r="B31" s="59">
        <v>0.0</v>
      </c>
      <c r="C31" s="60">
        <v>0.0</v>
      </c>
      <c r="D31" s="61">
        <v>0.0</v>
      </c>
      <c r="E31" s="62">
        <f t="shared" si="7"/>
        <v>0</v>
      </c>
      <c r="F31" s="63">
        <v>0.0</v>
      </c>
      <c r="G31" s="64">
        <v>0.0</v>
      </c>
      <c r="H31" s="60">
        <f t="shared" si="4"/>
        <v>0</v>
      </c>
      <c r="I31" s="10"/>
      <c r="J31" s="10"/>
      <c r="K31" s="11"/>
      <c r="L31" s="58" t="s">
        <v>67</v>
      </c>
      <c r="M31" s="59">
        <v>0.0</v>
      </c>
      <c r="N31" s="60">
        <v>0.0</v>
      </c>
      <c r="O31" s="61">
        <v>0.0</v>
      </c>
      <c r="P31" s="62">
        <f t="shared" si="2"/>
        <v>0</v>
      </c>
      <c r="Q31" s="63">
        <v>0.0</v>
      </c>
      <c r="R31" s="64">
        <v>0.0</v>
      </c>
      <c r="S31" s="60">
        <f t="shared" si="3"/>
        <v>0</v>
      </c>
    </row>
    <row r="32">
      <c r="A32" s="58" t="s">
        <v>68</v>
      </c>
      <c r="B32" s="59">
        <v>0.0</v>
      </c>
      <c r="C32" s="60">
        <v>0.0</v>
      </c>
      <c r="D32" s="61">
        <v>0.0</v>
      </c>
      <c r="E32" s="62">
        <f t="shared" si="7"/>
        <v>0</v>
      </c>
      <c r="F32" s="63">
        <v>0.0</v>
      </c>
      <c r="G32" s="64">
        <v>0.0</v>
      </c>
      <c r="H32" s="60">
        <f t="shared" si="4"/>
        <v>0</v>
      </c>
      <c r="I32" s="10"/>
      <c r="J32" s="10"/>
      <c r="K32" s="18"/>
      <c r="L32" s="58" t="s">
        <v>69</v>
      </c>
      <c r="M32" s="59">
        <v>0.0</v>
      </c>
      <c r="N32" s="60">
        <v>0.0</v>
      </c>
      <c r="O32" s="61">
        <v>0.0</v>
      </c>
      <c r="P32" s="62">
        <f t="shared" si="2"/>
        <v>0</v>
      </c>
      <c r="Q32" s="63">
        <v>0.0</v>
      </c>
      <c r="R32" s="64">
        <v>0.0</v>
      </c>
      <c r="S32" s="60">
        <f t="shared" si="3"/>
        <v>0</v>
      </c>
    </row>
    <row r="33">
      <c r="A33" s="58" t="s">
        <v>70</v>
      </c>
      <c r="B33" s="59">
        <v>0.0</v>
      </c>
      <c r="C33" s="60">
        <v>0.0</v>
      </c>
      <c r="D33" s="61">
        <v>0.0</v>
      </c>
      <c r="E33" s="62" t="str">
        <f>B33/D33</f>
        <v>#DIV/0!</v>
      </c>
      <c r="F33" s="63">
        <v>0.0</v>
      </c>
      <c r="G33" s="64">
        <v>0.0</v>
      </c>
      <c r="H33" s="60">
        <f t="shared" si="4"/>
        <v>0</v>
      </c>
      <c r="I33" s="68"/>
      <c r="L33" s="71"/>
      <c r="M33" s="72"/>
      <c r="N33" s="34"/>
      <c r="O33" s="73"/>
      <c r="P33" s="62">
        <f t="shared" si="2"/>
        <v>0</v>
      </c>
      <c r="Q33" s="74"/>
      <c r="R33" s="64">
        <v>0.0</v>
      </c>
      <c r="S33" s="60">
        <f t="shared" si="3"/>
        <v>0</v>
      </c>
    </row>
    <row r="34">
      <c r="A34" s="58" t="s">
        <v>72</v>
      </c>
      <c r="B34" s="59">
        <v>0.0</v>
      </c>
      <c r="C34" s="60">
        <v>0.0</v>
      </c>
      <c r="D34" s="61">
        <v>0.0</v>
      </c>
      <c r="E34" s="62">
        <f>IFERROR(B34/D34, 0)</f>
        <v>0</v>
      </c>
      <c r="F34" s="63">
        <v>0.0</v>
      </c>
      <c r="G34" s="64">
        <v>0.0</v>
      </c>
      <c r="H34" s="60">
        <f t="shared" si="4"/>
        <v>0</v>
      </c>
      <c r="I34" s="6"/>
      <c r="J34" s="6"/>
      <c r="K34" s="6"/>
      <c r="L34" s="71"/>
      <c r="M34" s="72"/>
      <c r="N34" s="34"/>
      <c r="O34" s="73"/>
      <c r="P34" s="62">
        <f t="shared" si="2"/>
        <v>0</v>
      </c>
      <c r="Q34" s="74"/>
      <c r="R34" s="64">
        <v>0.0</v>
      </c>
      <c r="S34" s="60">
        <f t="shared" si="3"/>
        <v>0</v>
      </c>
    </row>
    <row r="35">
      <c r="A35" s="58" t="s">
        <v>73</v>
      </c>
      <c r="B35" s="59">
        <v>0.0</v>
      </c>
      <c r="C35" s="60">
        <v>0.0</v>
      </c>
      <c r="D35" s="61">
        <v>0.0</v>
      </c>
      <c r="E35" s="62"/>
      <c r="F35" s="63">
        <v>0.0</v>
      </c>
      <c r="G35" s="64">
        <v>0.0</v>
      </c>
      <c r="H35" s="60">
        <f t="shared" si="4"/>
        <v>0</v>
      </c>
      <c r="I35" s="70"/>
      <c r="J35" s="70"/>
      <c r="K35" s="9"/>
      <c r="L35" s="71"/>
      <c r="M35" s="72"/>
      <c r="N35" s="34"/>
      <c r="O35" s="73"/>
      <c r="P35" s="62">
        <f t="shared" si="2"/>
        <v>0</v>
      </c>
      <c r="Q35" s="74"/>
      <c r="R35" s="64">
        <v>0.0</v>
      </c>
      <c r="S35" s="60">
        <f t="shared" si="3"/>
        <v>0</v>
      </c>
    </row>
    <row r="36">
      <c r="A36" s="58" t="s">
        <v>30</v>
      </c>
      <c r="B36" s="59">
        <v>0.0</v>
      </c>
      <c r="C36" s="60">
        <v>0.0</v>
      </c>
      <c r="D36" s="61">
        <v>0.0</v>
      </c>
      <c r="E36" s="62"/>
      <c r="F36" s="63">
        <v>0.0</v>
      </c>
      <c r="G36" s="64">
        <v>0.0</v>
      </c>
      <c r="H36" s="60">
        <f t="shared" si="4"/>
        <v>0</v>
      </c>
      <c r="I36" s="9"/>
      <c r="J36" s="9"/>
      <c r="K36" s="9"/>
      <c r="L36" s="71"/>
      <c r="M36" s="72"/>
      <c r="N36" s="34"/>
      <c r="O36" s="73"/>
      <c r="P36" s="62">
        <f t="shared" si="2"/>
        <v>0</v>
      </c>
      <c r="Q36" s="74"/>
      <c r="R36" s="64">
        <v>0.0</v>
      </c>
      <c r="S36" s="60">
        <f t="shared" si="3"/>
        <v>0</v>
      </c>
    </row>
    <row r="37">
      <c r="A37" s="58"/>
      <c r="B37" s="59"/>
      <c r="C37" s="60"/>
      <c r="D37" s="61"/>
      <c r="E37" s="62"/>
      <c r="F37" s="63"/>
      <c r="G37" s="64">
        <v>0.0</v>
      </c>
      <c r="H37" s="60">
        <f t="shared" si="4"/>
        <v>0</v>
      </c>
      <c r="I37" s="9"/>
      <c r="J37" s="9"/>
      <c r="K37" s="9"/>
      <c r="L37" s="71"/>
      <c r="M37" s="72"/>
      <c r="N37" s="34"/>
      <c r="O37" s="73"/>
      <c r="P37" s="62">
        <f t="shared" si="2"/>
        <v>0</v>
      </c>
      <c r="Q37" s="74"/>
      <c r="R37" s="64">
        <v>0.0</v>
      </c>
      <c r="S37" s="60">
        <f t="shared" si="3"/>
        <v>0</v>
      </c>
    </row>
    <row r="38">
      <c r="A38" s="75"/>
      <c r="B38" s="72"/>
      <c r="C38" s="34"/>
      <c r="D38" s="73"/>
      <c r="E38" s="62"/>
      <c r="F38" s="74"/>
      <c r="G38" s="64">
        <v>0.0</v>
      </c>
      <c r="H38" s="60">
        <f t="shared" si="4"/>
        <v>0</v>
      </c>
      <c r="I38" s="70"/>
      <c r="J38" s="9"/>
      <c r="K38" s="9"/>
      <c r="L38" s="71"/>
      <c r="M38" s="72"/>
      <c r="N38" s="34"/>
      <c r="O38" s="73"/>
      <c r="P38" s="62">
        <f t="shared" si="2"/>
        <v>0</v>
      </c>
      <c r="Q38" s="74"/>
      <c r="R38" s="64">
        <v>0.0</v>
      </c>
      <c r="S38" s="60">
        <f t="shared" si="3"/>
        <v>0</v>
      </c>
    </row>
    <row r="39">
      <c r="A39" s="75"/>
      <c r="B39" s="72"/>
      <c r="C39" s="34"/>
      <c r="D39" s="73"/>
      <c r="E39" s="62"/>
      <c r="F39" s="74"/>
      <c r="G39" s="64">
        <v>0.0</v>
      </c>
      <c r="H39" s="60">
        <f t="shared" si="4"/>
        <v>0</v>
      </c>
      <c r="I39" s="9"/>
      <c r="J39" s="9"/>
      <c r="K39" s="9"/>
      <c r="L39" s="71"/>
      <c r="M39" s="72"/>
      <c r="N39" s="34"/>
      <c r="O39" s="73"/>
      <c r="P39" s="62">
        <f t="shared" si="2"/>
        <v>0</v>
      </c>
      <c r="Q39" s="74"/>
      <c r="R39" s="64">
        <v>0.0</v>
      </c>
      <c r="S39" s="60">
        <f t="shared" si="3"/>
        <v>0</v>
      </c>
    </row>
    <row r="40">
      <c r="A40" s="75"/>
      <c r="B40" s="72"/>
      <c r="C40" s="34"/>
      <c r="D40" s="73"/>
      <c r="E40" s="62"/>
      <c r="F40" s="74"/>
      <c r="G40" s="64">
        <v>0.0</v>
      </c>
      <c r="H40" s="60">
        <f t="shared" si="4"/>
        <v>0</v>
      </c>
      <c r="I40" s="9"/>
      <c r="J40" s="9"/>
      <c r="K40" s="9"/>
      <c r="L40" s="71"/>
      <c r="M40" s="72"/>
      <c r="N40" s="34"/>
      <c r="O40" s="73"/>
      <c r="P40" s="62">
        <f t="shared" si="2"/>
        <v>0</v>
      </c>
      <c r="Q40" s="74"/>
      <c r="R40" s="64">
        <v>0.0</v>
      </c>
      <c r="S40" s="60">
        <f t="shared" si="3"/>
        <v>0</v>
      </c>
    </row>
    <row r="42">
      <c r="H42" s="76" t="str">
        <f>IF(AND(J55&gt;1, MOD(J55, 40)=1), "🏆 ¡DÍA DE BALÓN DE ORO! 🏆", "¡Próxima entrega del Balón de Oro en " &amp; (40 - MOD(J55, 40)) &amp; " partidos!")</f>
        <v>¡Próxima entrega del Balón de Oro en 40 partidos!</v>
      </c>
      <c r="I42" s="4"/>
      <c r="J42" s="4"/>
      <c r="K42" s="4"/>
      <c r="L42" s="5"/>
    </row>
    <row r="43">
      <c r="H43" s="1" t="str">
        <f>I54 &amp; " - " &amp; L54</f>
        <v>0 - 0</v>
      </c>
      <c r="L43" s="2"/>
    </row>
    <row r="44">
      <c r="A44" s="68"/>
      <c r="B44" s="68"/>
      <c r="C44" s="68"/>
      <c r="D44" s="68"/>
      <c r="E44" s="68"/>
      <c r="F44" s="68"/>
      <c r="G44" s="68"/>
      <c r="L44" s="2"/>
    </row>
    <row r="45">
      <c r="A45" s="68"/>
      <c r="B45" s="68"/>
      <c r="C45" s="68"/>
      <c r="D45" s="68"/>
      <c r="E45" s="68"/>
      <c r="F45" s="68"/>
      <c r="G45" s="68"/>
      <c r="L45" s="2"/>
    </row>
    <row r="46">
      <c r="A46" s="68"/>
      <c r="B46" s="68"/>
      <c r="C46" s="68"/>
      <c r="D46" s="68"/>
      <c r="E46" s="68"/>
      <c r="F46" s="68"/>
      <c r="G46" s="68"/>
      <c r="L46" s="2"/>
    </row>
    <row r="47">
      <c r="A47" s="68"/>
      <c r="B47" s="68"/>
      <c r="C47" s="68"/>
      <c r="D47" s="68"/>
      <c r="E47" s="68"/>
      <c r="F47" s="68"/>
      <c r="G47" s="68"/>
      <c r="L47" s="2"/>
    </row>
    <row r="48">
      <c r="A48" s="68"/>
      <c r="B48" s="68"/>
      <c r="C48" s="68"/>
      <c r="D48" s="68"/>
      <c r="E48" s="68"/>
      <c r="F48" s="68"/>
      <c r="G48" s="68"/>
      <c r="L48" s="2"/>
    </row>
    <row r="49">
      <c r="A49" s="68"/>
      <c r="B49" s="68"/>
      <c r="C49" s="68"/>
      <c r="D49" s="68"/>
      <c r="E49" s="68"/>
      <c r="F49" s="68"/>
      <c r="G49" s="68"/>
      <c r="L49" s="2"/>
    </row>
    <row r="50">
      <c r="A50" s="68"/>
      <c r="B50" s="68"/>
      <c r="C50" s="68"/>
      <c r="D50" s="68"/>
      <c r="E50" s="68"/>
      <c r="F50" s="68"/>
      <c r="G50" s="68"/>
      <c r="L50" s="2"/>
    </row>
    <row r="51">
      <c r="A51" s="68"/>
      <c r="B51" s="68"/>
      <c r="C51" s="68"/>
      <c r="D51" s="68"/>
      <c r="E51" s="68"/>
      <c r="F51" s="68"/>
      <c r="G51" s="68"/>
      <c r="L51" s="2"/>
    </row>
    <row r="52">
      <c r="A52" s="68"/>
      <c r="B52" s="68"/>
      <c r="C52" s="68"/>
      <c r="D52" s="68"/>
      <c r="E52" s="68"/>
      <c r="F52" s="68"/>
      <c r="G52" s="68"/>
      <c r="L52" s="2"/>
    </row>
    <row r="53">
      <c r="A53" s="68"/>
      <c r="B53" s="68"/>
      <c r="C53" s="68"/>
      <c r="D53" s="68"/>
      <c r="E53" s="68"/>
      <c r="F53" s="68"/>
      <c r="G53" s="68"/>
      <c r="H53" s="13"/>
      <c r="I53" s="13"/>
      <c r="J53" s="13"/>
      <c r="K53" s="13"/>
      <c r="L53" s="14"/>
    </row>
    <row r="54">
      <c r="A54" s="68"/>
      <c r="B54" s="68"/>
      <c r="C54" s="68"/>
      <c r="D54" s="68"/>
      <c r="E54" s="68"/>
      <c r="F54" s="68"/>
      <c r="G54" s="68"/>
      <c r="H54" s="15" t="s">
        <v>4</v>
      </c>
      <c r="I54" s="16">
        <v>0.0</v>
      </c>
      <c r="J54" s="17" t="s">
        <v>5</v>
      </c>
      <c r="K54" s="15" t="s">
        <v>4</v>
      </c>
      <c r="L54" s="16">
        <v>0.0</v>
      </c>
    </row>
    <row r="55">
      <c r="A55" s="68"/>
      <c r="B55" s="68"/>
      <c r="C55" s="68"/>
      <c r="D55" s="68"/>
      <c r="E55" s="68"/>
      <c r="F55" s="68"/>
      <c r="G55" s="68"/>
      <c r="H55" s="19" t="s">
        <v>6</v>
      </c>
      <c r="I55" s="20"/>
      <c r="J55" s="77">
        <f>I54+L54+I56</f>
        <v>0</v>
      </c>
      <c r="K55" s="19" t="s">
        <v>6</v>
      </c>
      <c r="L55" s="20">
        <f>I54</f>
        <v>0</v>
      </c>
    </row>
    <row r="56">
      <c r="A56" s="68"/>
      <c r="B56" s="68"/>
      <c r="C56" s="68"/>
      <c r="D56" s="68"/>
      <c r="E56" s="68"/>
      <c r="F56" s="68"/>
      <c r="G56" s="68"/>
      <c r="H56" s="15" t="s">
        <v>7</v>
      </c>
      <c r="I56" s="16">
        <v>0.0</v>
      </c>
      <c r="J56" s="22" t="s">
        <v>8</v>
      </c>
      <c r="K56" s="15" t="s">
        <v>7</v>
      </c>
      <c r="L56" s="16">
        <f>I56</f>
        <v>0</v>
      </c>
    </row>
    <row r="57">
      <c r="A57" s="68"/>
      <c r="B57" s="68"/>
      <c r="C57" s="68"/>
      <c r="D57" s="68"/>
      <c r="E57" s="68"/>
      <c r="F57" s="68"/>
      <c r="G57" s="68"/>
      <c r="H57" s="19" t="s">
        <v>9</v>
      </c>
      <c r="I57" s="20">
        <f>I54-I55</f>
        <v>0</v>
      </c>
      <c r="J57" s="23">
        <v>0.0</v>
      </c>
      <c r="K57" s="19" t="s">
        <v>9</v>
      </c>
      <c r="L57" s="20">
        <f>L54-L55</f>
        <v>0</v>
      </c>
    </row>
    <row r="58">
      <c r="A58" s="68"/>
      <c r="B58" s="68"/>
      <c r="C58" s="68"/>
      <c r="D58" s="68"/>
      <c r="E58" s="68"/>
      <c r="F58" s="68"/>
      <c r="G58" s="68"/>
      <c r="H58" s="24" t="s">
        <v>10</v>
      </c>
      <c r="I58" s="29" t="s">
        <v>102</v>
      </c>
      <c r="K58" s="26" t="s">
        <v>10</v>
      </c>
      <c r="L58" s="78" t="s">
        <v>102</v>
      </c>
    </row>
    <row r="59">
      <c r="A59" s="68"/>
      <c r="B59" s="68"/>
      <c r="C59" s="68"/>
      <c r="D59" s="68"/>
      <c r="E59" s="68"/>
      <c r="F59" s="68"/>
      <c r="G59" s="68"/>
      <c r="H59" s="28" t="s">
        <v>11</v>
      </c>
      <c r="I59" s="20">
        <f>B4+B5+B6+B7+B8+B9+B10+B11+B12+B13+B14+B15+B16+B17+B18+B20+B21+B22+B23+B24+B25+B26+B27+B28+B29+B30+B31+B32+B33+B34</f>
        <v>0</v>
      </c>
      <c r="K59" s="19" t="s">
        <v>11</v>
      </c>
      <c r="L59" s="20">
        <f>M4+M5+M6+M7+M8+M9+M10+M11+M12+M13+M14+M15+M16+M17+M18+M19+M20+M21+M22+M23+M24+M25+M26+M27+M28+M29+M30+M31+M32+M33+M34+M35+M36+M37+M38+M39+M40</f>
        <v>0</v>
      </c>
    </row>
    <row r="60">
      <c r="A60" s="68"/>
      <c r="B60" s="68"/>
      <c r="C60" s="68"/>
      <c r="D60" s="68"/>
      <c r="E60" s="68"/>
      <c r="F60" s="68"/>
      <c r="G60" s="68"/>
      <c r="H60" s="24" t="s">
        <v>12</v>
      </c>
      <c r="I60" s="29">
        <v>0.0</v>
      </c>
      <c r="K60" s="30" t="s">
        <v>12</v>
      </c>
      <c r="L60" s="16">
        <v>0.0</v>
      </c>
    </row>
    <row r="61">
      <c r="A61" s="68"/>
      <c r="B61" s="68"/>
      <c r="C61" s="68"/>
      <c r="D61" s="68"/>
      <c r="E61" s="68"/>
      <c r="F61" s="68"/>
      <c r="G61" s="68"/>
      <c r="H61" s="31">
        <f>I54</f>
        <v>0</v>
      </c>
      <c r="I61" s="32" t="s">
        <v>13</v>
      </c>
      <c r="J61" s="33" t="str">
        <f>IF(L55 &gt; I55, "VIUDAS DE GALLARDO", IF(I55 &gt; L55, "SOLDADO DE COUDET", "¡EMPATE HISTÓRICO!"))</f>
        <v>¡EMPATE HISTÓRICO!</v>
      </c>
      <c r="K61" s="5"/>
      <c r="L61" s="34">
        <f>L54</f>
        <v>0</v>
      </c>
    </row>
    <row r="62">
      <c r="A62" s="68"/>
      <c r="B62" s="68"/>
      <c r="C62" s="68"/>
      <c r="D62" s="68"/>
      <c r="E62" s="68"/>
      <c r="F62" s="68"/>
      <c r="G62" s="68"/>
      <c r="H62" s="35" t="str">
        <f>IFERROR(__xludf.DUMMYFUNCTION("SPARKLINE({I54, I56*1, L54}, {""charttype"", ""bar""; ""color1"", ""#202020""; ""color2"", ""#A0A0A0""; ""color3"", ""#FFFFFF""})"),"")</f>
        <v/>
      </c>
      <c r="I62" s="4"/>
      <c r="J62" s="4"/>
      <c r="K62" s="4"/>
      <c r="L62" s="5"/>
    </row>
    <row r="63">
      <c r="A63" s="68"/>
      <c r="B63" s="68"/>
      <c r="C63" s="68"/>
      <c r="D63" s="68"/>
      <c r="E63" s="68"/>
      <c r="F63" s="68"/>
      <c r="G63" s="68"/>
      <c r="H63" s="68"/>
    </row>
  </sheetData>
  <mergeCells count="18">
    <mergeCell ref="A2:B2"/>
    <mergeCell ref="C2:H2"/>
    <mergeCell ref="L2:M2"/>
    <mergeCell ref="N2:S2"/>
    <mergeCell ref="I5:J5"/>
    <mergeCell ref="I6:J6"/>
    <mergeCell ref="I33:K33"/>
    <mergeCell ref="H43:L53"/>
    <mergeCell ref="H42:L42"/>
    <mergeCell ref="H62:L62"/>
    <mergeCell ref="J61:K61"/>
    <mergeCell ref="I2:K2"/>
    <mergeCell ref="I3:J3"/>
    <mergeCell ref="I4:J4"/>
    <mergeCell ref="A1:S1"/>
    <mergeCell ref="I8:K8"/>
    <mergeCell ref="I7:K7"/>
    <mergeCell ref="I21:K21"/>
  </mergeCells>
  <conditionalFormatting sqref="J61:K61">
    <cfRule type="colorScale" priority="1">
      <colorScale>
        <cfvo type="min"/>
        <cfvo type="max"/>
        <color rgb="FFFFFFFF"/>
        <color rgb="FF57BB8A"/>
      </colorScale>
    </cfRule>
  </conditionalFormatting>
  <conditionalFormatting sqref="J61:K61">
    <cfRule type="cellIs" dxfId="0" priority="2" operator="equal">
      <formula>"VIUDAS DE GALLARDO"</formula>
    </cfRule>
  </conditionalFormatting>
  <conditionalFormatting sqref="J61:K61">
    <cfRule type="cellIs" dxfId="1" priority="3" operator="equal">
      <formula>"SOLDADO DE COUDET"</formula>
    </cfRule>
  </conditionalFormatting>
  <drawing r:id="rId1"/>
</worksheet>
</file>